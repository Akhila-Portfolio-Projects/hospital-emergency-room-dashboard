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13_ncr:1_{998CCD8F-8311-4949-8B21-0DBC167ED2AE}" xr6:coauthVersionLast="47" xr6:coauthVersionMax="47" xr10:uidLastSave="{00000000-0000-0000-0000-000000000000}"/>
  <bookViews>
    <workbookView xWindow="-120" yWindow="-120" windowWidth="20730" windowHeight="11160" activeTab="2" xr2:uid="{CDFD95A0-118A-4AD2-88F4-E2CFC1C07828}"/>
  </bookViews>
  <sheets>
    <sheet name="Sheet1" sheetId="1" r:id="rId1"/>
    <sheet name="Sheet6" sheetId="6" r:id="rId2"/>
    <sheet name="Dashboard" sheetId="2" r:id="rId3"/>
    <sheet name="PATIENT DATA" sheetId="3" r:id="rId4"/>
    <sheet name="Avg wait time" sheetId="4" r:id="rId5"/>
    <sheet name="patient satisfaction score " sheetId="5" r:id="rId6"/>
  </sheets>
  <definedNames>
    <definedName name="Slicer_Date__Month">#N/A</definedName>
    <definedName name="Slicer_Date__Year">#N/A</definedName>
  </definedNames>
  <calcPr calcId="191029"/>
  <pivotCaches>
    <pivotCache cacheId="1426" r:id="rId7"/>
    <pivotCache cacheId="1429" r:id="rId8"/>
    <pivotCache cacheId="1432" r:id="rId9"/>
    <pivotCache cacheId="1435" r:id="rId10"/>
    <pivotCache cacheId="1438" r:id="rId11"/>
    <pivotCache cacheId="1441" r:id="rId12"/>
    <pivotCache cacheId="1444" r:id="rId13"/>
    <pivotCache cacheId="1447" r:id="rId14"/>
    <pivotCache cacheId="1450" r:id="rId15"/>
    <pivotCache cacheId="1453" r:id="rId16"/>
    <pivotCache cacheId="1456" r:id="rId17"/>
    <pivotCache cacheId="1459" r:id="rId18"/>
    <pivotCache cacheId="1462" r:id="rId19"/>
  </pivotCaches>
  <extLst>
    <ext xmlns:x14="http://schemas.microsoft.com/office/spreadsheetml/2009/9/main" uri="{876F7934-8845-4945-9796-88D515C7AA90}">
      <x14:pivotCaches>
        <pivotCache cacheId="940" r:id="rId20"/>
        <pivotCache cacheId="1180"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 Copy_4f874299-efb1-4e5d-ac8c-e6428f767d33" name="Hospital Emergency Room Data - Copy" connection="Query - Hospital Emergency Room Data - Copy"/>
          <x15:modelTable id="calendar_99b4f50c-1276-4e54-91a4-b839934a7d69" name="calendar" connection="Query - calendar"/>
        </x15:modelTables>
        <x15:modelRelationships>
          <x15:modelRelationship fromTable="Hospital Emergency Room Data - Copy" fromColumn="Patient Admission 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1" l="1"/>
  <c r="C54" i="1"/>
  <c r="A54" i="1"/>
  <c r="B53" i="1"/>
  <c r="C53" i="1"/>
  <c r="A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C3137C-ED9A-4D71-AEC5-6918CFB6A59D}" name="Query - calendar" description="Connection to the 'calendar' query in the workbook." type="100" refreshedVersion="8" minRefreshableVersion="5">
    <extLst>
      <ext xmlns:x15="http://schemas.microsoft.com/office/spreadsheetml/2010/11/main" uri="{DE250136-89BD-433C-8126-D09CA5730AF9}">
        <x15:connection id="43ed8483-9835-4acd-86c3-2bf4fb595c87">
          <x15:oledbPr connection="Provider=Microsoft.Mashup.OleDb.1;Data Source=$Workbook$;Location=calendar;Extended Properties=&quot;&quot;">
            <x15:dbTables>
              <x15:dbTable name="calendar"/>
            </x15:dbTables>
          </x15:oledbPr>
        </x15:connection>
      </ext>
    </extLst>
  </connection>
  <connection id="2" xr16:uid="{1F7B94D6-2644-4BA8-BAC3-D3BDC687F1EA}" name="Query - Hospital Emergency Room Data - Copy" description="Connection to the 'Hospital Emergency Room Data - Copy' query in the workbook." type="100" refreshedVersion="8" minRefreshableVersion="5">
    <extLst>
      <ext xmlns:x15="http://schemas.microsoft.com/office/spreadsheetml/2010/11/main" uri="{DE250136-89BD-433C-8126-D09CA5730AF9}">
        <x15:connection id="8e889343-77e9-4505-a342-54e41e810729"/>
      </ext>
    </extLst>
  </connection>
  <connection id="3" xr16:uid="{116A7FAB-0226-4BD0-91C1-6B06A9A28E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<sst xmlns="http://schemas.openxmlformats.org/spreadsheetml/2006/main" count="155" uniqueCount="71">
  <si>
    <t>Row Labels</t>
  </si>
  <si>
    <t>Grand Total</t>
  </si>
  <si>
    <t>Distinct Count of Patient Id</t>
  </si>
  <si>
    <t>Average of Patient Waittime</t>
  </si>
  <si>
    <t>Avg of Patient Satisfaction Score</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</si>
  <si>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</si>
  <si>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</si>
  <si>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</si>
  <si>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</si>
  <si>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</si>
  <si>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</si>
  <si>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</si>
  <si>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</si>
  <si>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</si>
  <si>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</si>
  <si>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</si>
  <si>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</si>
  <si>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</si>
  <si>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</si>
  <si>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</si>
  <si>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</si>
  <si>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</si>
  <si>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</si>
  <si>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</si>
  <si>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</si>
  <si>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</si>
  <si>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</si>
  <si>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</si>
  <si>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</si>
  <si>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</si>
  <si>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</si>
  <si>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</si>
  <si>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</si>
  <si>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</si>
  <si>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</si>
  <si>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</si>
  <si>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</si>
  <si>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 xml:space="preserve">  </t>
  </si>
  <si>
    <t>Average of Patient Satisfaction Score</t>
  </si>
  <si>
    <t>Count of Patient Admission Flag</t>
  </si>
  <si>
    <t>Admitted</t>
  </si>
  <si>
    <t>Not Admitted</t>
  </si>
  <si>
    <t>Count of Patient Admission Flag2</t>
  </si>
  <si>
    <t>Admission status</t>
  </si>
  <si>
    <t>No.of patient</t>
  </si>
  <si>
    <t>%status</t>
  </si>
  <si>
    <t>0-09</t>
  </si>
  <si>
    <t>10-19</t>
  </si>
  <si>
    <t>20-29</t>
  </si>
  <si>
    <t>30-39</t>
  </si>
  <si>
    <t>40-49</t>
  </si>
  <si>
    <t>50-59</t>
  </si>
  <si>
    <t>60-69</t>
  </si>
  <si>
    <t>70-79</t>
  </si>
  <si>
    <t>Count of Patient Age Group</t>
  </si>
  <si>
    <t>Age group wise analysis</t>
  </si>
  <si>
    <t>Delay</t>
  </si>
  <si>
    <t>Ontime</t>
  </si>
  <si>
    <t>Count of Patient Id</t>
  </si>
  <si>
    <t>Female</t>
  </si>
  <si>
    <t>Male</t>
  </si>
  <si>
    <t>Gender wise Analysis</t>
  </si>
  <si>
    <t>Cardiology</t>
  </si>
  <si>
    <t>Gastroenterology</t>
  </si>
  <si>
    <t>General Practice</t>
  </si>
  <si>
    <t>Neurology</t>
  </si>
  <si>
    <t>None</t>
  </si>
  <si>
    <t>Orthopedics</t>
  </si>
  <si>
    <t>Physiotherapy</t>
  </si>
  <si>
    <t>Renal</t>
  </si>
  <si>
    <t>Department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</si>
</sst>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4" x14ac:knownFonts="1">
    <font>
      <sz val="11"/>
      <color theme="1"/>
      <name val="Aptos Narrow"/>
      <family val="2"/>
      <scheme val="minor"/>
    </font>
    <font>
      <sz val="11"/>
      <color theme="1"/>
      <name val="Aptos Narrow"/>
      <family val="2"/>
      <scheme val="minor"/>
    </font>
    <font>
      <sz val="11"/>
      <color theme="0"/>
      <name val="Aptos Narrow"/>
      <family val="2"/>
      <scheme val="minor"/>
    </font>
    <font>
      <sz val="10"/>
      <color theme="1"/>
      <name val="Aptos Narrow"/>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4" tint="0.59999389629810485"/>
        <bgColor indexed="64"/>
      </patternFill>
    </fill>
    <fill>
      <patternFill patternType="solid">
        <fgColor theme="0"/>
        <bgColor indexed="64"/>
      </patternFill>
    </fill>
    <fill>
      <patternFill patternType="solid">
        <fgColor theme="3"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0" fillId="2" borderId="0" xfId="0" applyFill="1"/>
    <xf numFmtId="0" fontId="0" fillId="0" borderId="0" xfId="0" applyNumberFormat="1"/>
    <xf numFmtId="0" fontId="0" fillId="3" borderId="0" xfId="0" applyFill="1"/>
    <xf numFmtId="170" fontId="0" fillId="0" borderId="0" xfId="0" applyNumberFormat="1"/>
    <xf numFmtId="1" fontId="0" fillId="0" borderId="0" xfId="0" applyNumberFormat="1"/>
    <xf numFmtId="0" fontId="0" fillId="4" borderId="0" xfId="0" applyFill="1"/>
    <xf numFmtId="0" fontId="3" fillId="3" borderId="0" xfId="0" applyFont="1" applyFill="1"/>
    <xf numFmtId="0" fontId="0" fillId="5" borderId="0" xfId="0" applyFill="1"/>
    <xf numFmtId="0" fontId="0" fillId="6" borderId="0" xfId="0" applyFill="1"/>
    <xf numFmtId="10" fontId="0" fillId="0" borderId="0" xfId="0" applyNumberFormat="1"/>
    <xf numFmtId="0" fontId="0" fillId="3" borderId="0" xfId="0" applyFill="1" applyAlignment="1">
      <alignment horizontal="center"/>
    </xf>
    <xf numFmtId="10" fontId="0" fillId="3" borderId="0" xfId="1" applyNumberFormat="1" applyFont="1" applyFill="1" applyAlignment="1">
      <alignment horizontal="center"/>
    </xf>
    <xf numFmtId="0" fontId="0" fillId="7" borderId="0" xfId="0" applyFill="1"/>
    <xf numFmtId="0" fontId="2" fillId="7" borderId="0" xfId="0" applyFont="1" applyFill="1" applyAlignment="1">
      <alignment horizontal="center"/>
    </xf>
  </cellXfs>
  <cellStyles count="2">
    <cellStyle name="Normal" xfId="0" builtinId="0"/>
    <cellStyle name="Percent" xfId="1" builtinId="5"/>
  </cellStyles>
  <dxfs count="283">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70" formatCode="0.0"/>
    </dxf>
    <dxf>
      <numFmt numFmtId="170" formatCode="0.0"/>
    </dxf>
    <dxf>
      <numFmt numFmtId="170" formatCode="0.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fill>
        <patternFill patternType="solid">
          <bgColor theme="4" tint="0.59999389629810485"/>
        </patternFill>
      </fill>
    </dxf>
    <dxf>
      <numFmt numFmtId="1" formatCode="0"/>
    </dxf>
    <dxf>
      <numFmt numFmtId="14" formatCode="0.00%"/>
    </dxf>
    <dxf>
      <numFmt numFmtId="1" formatCode="0"/>
    </dxf>
    <dxf>
      <fill>
        <patternFill patternType="solid">
          <bgColor theme="4" tint="0.59999389629810485"/>
        </patternFill>
      </fill>
    </dxf>
    <dxf>
      <numFmt numFmtId="170" formatCode="0.0"/>
    </dxf>
    <dxf>
      <numFmt numFmtId="170" formatCode="0.0"/>
    </dxf>
    <dxf>
      <numFmt numFmtId="170" formatCode="0.0"/>
    </dxf>
    <dxf>
      <font>
        <b/>
        <color theme="1"/>
      </font>
      <border>
        <bottom style="thin">
          <color rgb="FF4F81BD"/>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rgb="FF4F81BD"/>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bgColor theme="3" tint="0.749961851863155"/>
        </patternFill>
      </fill>
      <border>
        <left style="thin">
          <color theme="4"/>
        </left>
        <right style="thin">
          <color theme="4"/>
        </right>
        <top style="thin">
          <color theme="4"/>
        </top>
        <bottom style="thin">
          <color theme="4"/>
        </bottom>
        <vertical/>
        <horizontal/>
      </border>
    </dxf>
    <dxf>
      <border diagonalUp="0" diagonalDown="0">
        <left/>
        <right/>
        <top/>
        <bottom/>
        <vertical/>
        <horizontal/>
      </border>
    </dxf>
  </dxfs>
  <tableStyles count="4" defaultTableStyle="TableStyleMedium2" defaultPivotStyle="PivotStyleLight16">
    <tableStyle name="MY STYLE" pivot="0" table="0" count="10" xr9:uid="{F08E43A4-DFE1-4DD0-84B0-B7E991170F92}">
      <tableStyleElement type="wholeTable" dxfId="281"/>
      <tableStyleElement type="headerRow" dxfId="280"/>
    </tableStyle>
    <tableStyle name="NEWSTYLE" pivot="0" table="0" count="10" xr9:uid="{3D6C1A28-0D77-47C3-B5C1-8A987A4DFB00}">
      <tableStyleElement type="wholeTable" dxfId="277"/>
      <tableStyleElement type="headerRow" dxfId="276"/>
    </tableStyle>
    <tableStyle name="Slicer Style 1" pivot="0" table="0" count="1" xr9:uid="{271E68CE-0302-4F1A-A86F-A3CDF28BD500}">
      <tableStyleElement type="wholeTable" dxfId="282"/>
    </tableStyle>
    <tableStyle name="SlicerStyleOther2 2" pivot="0" table="0" count="10" xr9:uid="{77EDE38A-7D99-4757-81EB-217A110DCB2A}">
      <tableStyleElement type="wholeTable" dxfId="279"/>
      <tableStyleElement type="headerRow" dxfId="278"/>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NEWSTYLE">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NEW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98BB3F-1991-4B5D-AB64-1637D09538DD}"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B2AC77-E933-4C59-9530-0F8E17E85AC6}"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0.10116570139476368"/>
          <c:y val="8.1746369668725588E-2"/>
          <c:w val="0.77152819682586404"/>
          <c:h val="0.79479612012901812"/>
        </c:manualLayout>
      </c:layout>
      <c:barChart>
        <c:barDir val="bar"/>
        <c:grouping val="clustered"/>
        <c:varyColors val="0"/>
        <c:ser>
          <c:idx val="0"/>
          <c:order val="0"/>
          <c:tx>
            <c:strRef>
              <c:f>Sheet1!$B$43</c:f>
              <c:strCache>
                <c:ptCount val="1"/>
                <c:pt idx="0">
                  <c:v>Count of Patient Admission Flag</c:v>
                </c:pt>
              </c:strCache>
            </c:strRef>
          </c:tx>
          <c:spPr>
            <a:solidFill>
              <a:schemeClr val="accent1"/>
            </a:solidFill>
            <a:ln>
              <a:noFill/>
            </a:ln>
            <a:effectLst/>
          </c:spPr>
          <c:invertIfNegative val="0"/>
          <c:dLbls>
            <c:dLbl>
              <c:idx val="0"/>
              <c:tx>
                <c:rich>
                  <a:bodyPr/>
                  <a:lstStyle/>
                  <a:p>
                    <a:fld id="{0998BB3F-1991-4B5D-AB64-1637D09538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C7B-4600-AEAF-18B964A96CD4}"/>
                </c:ext>
              </c:extLst>
            </c:dLbl>
            <c:dLbl>
              <c:idx val="1"/>
              <c:tx>
                <c:rich>
                  <a:bodyPr/>
                  <a:lstStyle/>
                  <a:p>
                    <a:fld id="{98B2AC77-E933-4C59-9530-0F8E17E85A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C7B-4600-AEAF-18B964A96CD4}"/>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Sheet1!$A$44:$A$46</c:f>
              <c:strCache>
                <c:ptCount val="2"/>
                <c:pt idx="0">
                  <c:v>Admitted</c:v>
                </c:pt>
                <c:pt idx="1">
                  <c:v>Not Admitted</c:v>
                </c:pt>
              </c:strCache>
            </c:strRef>
          </c:cat>
          <c:val>
            <c:numRef>
              <c:f>Sheet1!$B$44:$B$46</c:f>
              <c:numCache>
                <c:formatCode>0</c:formatCode>
                <c:ptCount val="2"/>
                <c:pt idx="0">
                  <c:v>266</c:v>
                </c:pt>
                <c:pt idx="1">
                  <c:v>253</c:v>
                </c:pt>
              </c:numCache>
            </c:numRef>
          </c:val>
          <c:extLst>
            <c:ext xmlns:c15="http://schemas.microsoft.com/office/drawing/2012/chart" uri="{02D57815-91ED-43cb-92C2-25804820EDAC}">
              <c15:datalabelsRange>
                <c15:f>Sheet1!$C$44:$C$45</c15:f>
                <c15:dlblRangeCache>
                  <c:ptCount val="2"/>
                  <c:pt idx="0">
                    <c:v>51.25%</c:v>
                  </c:pt>
                  <c:pt idx="1">
                    <c:v>48.75%</c:v>
                  </c:pt>
                </c15:dlblRangeCache>
              </c15:datalabelsRange>
            </c:ext>
            <c:ext xmlns:c16="http://schemas.microsoft.com/office/drawing/2014/chart" uri="{C3380CC4-5D6E-409C-BE32-E72D297353CC}">
              <c16:uniqueId val="{00000000-2C7B-4600-AEAF-18B964A96CD4}"/>
            </c:ext>
          </c:extLst>
        </c:ser>
        <c:ser>
          <c:idx val="1"/>
          <c:order val="1"/>
          <c:tx>
            <c:strRef>
              <c:f>Sheet1!$C$43</c:f>
              <c:strCache>
                <c:ptCount val="1"/>
                <c:pt idx="0">
                  <c:v>Count of Patient Admission Flag2</c:v>
                </c:pt>
              </c:strCache>
            </c:strRef>
          </c:tx>
          <c:spPr>
            <a:solidFill>
              <a:schemeClr val="accent2"/>
            </a:solidFill>
            <a:ln>
              <a:noFill/>
            </a:ln>
            <a:effectLst/>
          </c:spPr>
          <c:invertIfNegative val="0"/>
          <c:cat>
            <c:strRef>
              <c:f>Sheet1!$A$44:$A$46</c:f>
              <c:strCache>
                <c:ptCount val="2"/>
                <c:pt idx="0">
                  <c:v>Admitted</c:v>
                </c:pt>
                <c:pt idx="1">
                  <c:v>Not Admitted</c:v>
                </c:pt>
              </c:strCache>
            </c:strRef>
          </c:cat>
          <c:val>
            <c:numRef>
              <c:f>Sheet1!$C$44:$C$46</c:f>
              <c:numCache>
                <c:formatCode>0.00%</c:formatCode>
                <c:ptCount val="2"/>
                <c:pt idx="0">
                  <c:v>0.51252408477842004</c:v>
                </c:pt>
                <c:pt idx="1">
                  <c:v>0.48747591522157996</c:v>
                </c:pt>
              </c:numCache>
            </c:numRef>
          </c:val>
          <c:extLst>
            <c:ext xmlns:c16="http://schemas.microsoft.com/office/drawing/2014/chart" uri="{C3380CC4-5D6E-409C-BE32-E72D297353CC}">
              <c16:uniqueId val="{00000001-2C7B-4600-AEAF-18B964A96CD4}"/>
            </c:ext>
          </c:extLst>
        </c:ser>
        <c:dLbls>
          <c:showLegendKey val="0"/>
          <c:showVal val="0"/>
          <c:showCatName val="0"/>
          <c:showSerName val="0"/>
          <c:showPercent val="0"/>
          <c:showBubbleSize val="0"/>
        </c:dLbls>
        <c:gapWidth val="38"/>
        <c:overlap val="1"/>
        <c:axId val="1206825951"/>
        <c:axId val="93662336"/>
      </c:barChart>
      <c:catAx>
        <c:axId val="1206825951"/>
        <c:scaling>
          <c:orientation val="minMax"/>
        </c:scaling>
        <c:delete val="1"/>
        <c:axPos val="l"/>
        <c:numFmt formatCode="General" sourceLinked="1"/>
        <c:majorTickMark val="none"/>
        <c:minorTickMark val="none"/>
        <c:tickLblPos val="nextTo"/>
        <c:crossAx val="93662336"/>
        <c:crosses val="autoZero"/>
        <c:auto val="1"/>
        <c:lblAlgn val="ctr"/>
        <c:lblOffset val="100"/>
        <c:noMultiLvlLbl val="0"/>
      </c:catAx>
      <c:valAx>
        <c:axId val="93662336"/>
        <c:scaling>
          <c:orientation val="minMax"/>
        </c:scaling>
        <c:delete val="1"/>
        <c:axPos val="b"/>
        <c:numFmt formatCode="0" sourceLinked="1"/>
        <c:majorTickMark val="none"/>
        <c:minorTickMark val="none"/>
        <c:tickLblPos val="nextTo"/>
        <c:crossAx val="120682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project.xlsx]Sheet1!PivotTable11</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Sheet1!$B$72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Sheet1!$A$73:$A$75</c:f>
              <c:strCache>
                <c:ptCount val="2"/>
                <c:pt idx="0">
                  <c:v>Female</c:v>
                </c:pt>
                <c:pt idx="1">
                  <c:v>Male</c:v>
                </c:pt>
              </c:strCache>
            </c:strRef>
          </c:cat>
          <c:val>
            <c:numRef>
              <c:f>Sheet1!$B$73:$B$75</c:f>
              <c:numCache>
                <c:formatCode>0</c:formatCode>
                <c:ptCount val="2"/>
                <c:pt idx="0">
                  <c:v>254</c:v>
                </c:pt>
                <c:pt idx="1">
                  <c:v>265</c:v>
                </c:pt>
              </c:numCache>
            </c:numRef>
          </c:val>
          <c:extLst>
            <c:ext xmlns:c16="http://schemas.microsoft.com/office/drawing/2014/chart" uri="{C3380CC4-5D6E-409C-BE32-E72D297353CC}">
              <c16:uniqueId val="{00000000-DE70-419B-9254-7BBE71F335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project.xlsx]Sheet1!PivotTable12</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Sheet1!$B$87</c:f>
              <c:strCache>
                <c:ptCount val="1"/>
                <c:pt idx="0">
                  <c:v>Total</c:v>
                </c:pt>
              </c:strCache>
            </c:strRef>
          </c:tx>
          <c:spPr>
            <a:solidFill>
              <a:schemeClr val="accent1"/>
            </a:solidFill>
            <a:ln>
              <a:noFill/>
            </a:ln>
            <a:effectLst/>
          </c:spPr>
          <c:invertIfNegative val="0"/>
          <c:cat>
            <c:strRef>
              <c:f>Sheet1!$A$88:$A$96</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Sheet1!$B$88:$B$96</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5050-4F63-B4AC-1C5D35AD8742}"/>
            </c:ext>
          </c:extLst>
        </c:ser>
        <c:dLbls>
          <c:showLegendKey val="0"/>
          <c:showVal val="0"/>
          <c:showCatName val="0"/>
          <c:showSerName val="0"/>
          <c:showPercent val="0"/>
          <c:showBubbleSize val="0"/>
        </c:dLbls>
        <c:gapWidth val="182"/>
        <c:axId val="1226744719"/>
        <c:axId val="93641696"/>
      </c:barChart>
      <c:catAx>
        <c:axId val="122674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41696"/>
        <c:crosses val="autoZero"/>
        <c:auto val="1"/>
        <c:lblAlgn val="ctr"/>
        <c:lblOffset val="100"/>
        <c:noMultiLvlLbl val="0"/>
      </c:catAx>
      <c:valAx>
        <c:axId val="936416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74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2061458683842001"/>
          <c:w val="1"/>
          <c:h val="0.57938613871318867"/>
        </c:manualLayout>
      </c:layout>
      <c:areaChart>
        <c:grouping val="standard"/>
        <c:varyColors val="0"/>
        <c:ser>
          <c:idx val="0"/>
          <c:order val="0"/>
          <c:tx>
            <c:strRef>
              <c:f>Sheet1!$F$2</c:f>
              <c:strCache>
                <c:ptCount val="1"/>
                <c:pt idx="0">
                  <c:v>Total</c:v>
                </c:pt>
              </c:strCache>
            </c:strRef>
          </c:tx>
          <c:spPr>
            <a:solidFill>
              <a:schemeClr val="accent1"/>
            </a:solidFill>
            <a:ln>
              <a:noFill/>
            </a:ln>
            <a:effectLst/>
          </c:spPr>
          <c:cat>
            <c:strRef>
              <c:f>Sheet1!$E$3:$E$34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Sheet1!$F$3:$F$34</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4F30-494A-958A-2816B0E158CA}"/>
            </c:ext>
          </c:extLst>
        </c:ser>
        <c:dLbls>
          <c:showLegendKey val="0"/>
          <c:showVal val="0"/>
          <c:showCatName val="0"/>
          <c:showSerName val="0"/>
          <c:showPercent val="0"/>
          <c:showBubbleSize val="0"/>
        </c:dLbls>
        <c:axId val="1904837151"/>
        <c:axId val="1804167359"/>
      </c:areaChart>
      <c:catAx>
        <c:axId val="1904837151"/>
        <c:scaling>
          <c:orientation val="minMax"/>
        </c:scaling>
        <c:delete val="1"/>
        <c:axPos val="b"/>
        <c:numFmt formatCode="General" sourceLinked="1"/>
        <c:majorTickMark val="out"/>
        <c:minorTickMark val="none"/>
        <c:tickLblPos val="nextTo"/>
        <c:crossAx val="1804167359"/>
        <c:crosses val="autoZero"/>
        <c:auto val="1"/>
        <c:lblAlgn val="ctr"/>
        <c:lblOffset val="100"/>
        <c:noMultiLvlLbl val="0"/>
      </c:catAx>
      <c:valAx>
        <c:axId val="1804167359"/>
        <c:scaling>
          <c:orientation val="minMax"/>
        </c:scaling>
        <c:delete val="1"/>
        <c:axPos val="l"/>
        <c:numFmt formatCode="General" sourceLinked="1"/>
        <c:majorTickMark val="none"/>
        <c:minorTickMark val="none"/>
        <c:tickLblPos val="nextTo"/>
        <c:crossAx val="19048371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47363897325084E-2"/>
          <c:y val="0.19528916119803588"/>
          <c:w val="0.96930360161188056"/>
          <c:h val="0.76646269597248351"/>
        </c:manualLayout>
      </c:layout>
      <c:areaChart>
        <c:grouping val="standard"/>
        <c:varyColors val="0"/>
        <c:ser>
          <c:idx val="0"/>
          <c:order val="0"/>
          <c:tx>
            <c:strRef>
              <c:f>Sheet1!$K$5</c:f>
              <c:strCache>
                <c:ptCount val="1"/>
                <c:pt idx="0">
                  <c:v>Total</c:v>
                </c:pt>
              </c:strCache>
            </c:strRef>
          </c:tx>
          <c:spPr>
            <a:solidFill>
              <a:schemeClr val="accent1"/>
            </a:solidFill>
            <a:ln>
              <a:noFill/>
            </a:ln>
            <a:effectLst/>
          </c:spPr>
          <c:cat>
            <c:strRef>
              <c:f>Sheet1!$J$6:$J$37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Sheet1!$K$6:$K$37</c:f>
              <c:numCache>
                <c:formatCode>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581F-4005-B31E-048D1466DBFB}"/>
            </c:ext>
          </c:extLst>
        </c:ser>
        <c:dLbls>
          <c:showLegendKey val="0"/>
          <c:showVal val="0"/>
          <c:showCatName val="0"/>
          <c:showSerName val="0"/>
          <c:showPercent val="0"/>
          <c:showBubbleSize val="0"/>
        </c:dLbls>
        <c:axId val="1904840399"/>
        <c:axId val="93641216"/>
      </c:areaChart>
      <c:catAx>
        <c:axId val="1904840399"/>
        <c:scaling>
          <c:orientation val="minMax"/>
        </c:scaling>
        <c:delete val="1"/>
        <c:axPos val="b"/>
        <c:numFmt formatCode="General" sourceLinked="1"/>
        <c:majorTickMark val="out"/>
        <c:minorTickMark val="none"/>
        <c:tickLblPos val="nextTo"/>
        <c:crossAx val="93641216"/>
        <c:crosses val="autoZero"/>
        <c:auto val="1"/>
        <c:lblAlgn val="ctr"/>
        <c:lblOffset val="100"/>
        <c:noMultiLvlLbl val="0"/>
      </c:catAx>
      <c:valAx>
        <c:axId val="93641216"/>
        <c:scaling>
          <c:orientation val="minMax"/>
        </c:scaling>
        <c:delete val="1"/>
        <c:axPos val="l"/>
        <c:numFmt formatCode="0.0" sourceLinked="1"/>
        <c:majorTickMark val="none"/>
        <c:minorTickMark val="none"/>
        <c:tickLblPos val="nextTo"/>
        <c:crossAx val="1904840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42882992819256E-3"/>
          <c:y val="6.5775217595435012E-3"/>
          <c:w val="0.99796547742807296"/>
          <c:h val="0.88167064548709939"/>
        </c:manualLayout>
      </c:layout>
      <c:areaChart>
        <c:grouping val="standard"/>
        <c:varyColors val="0"/>
        <c:ser>
          <c:idx val="0"/>
          <c:order val="0"/>
          <c:tx>
            <c:strRef>
              <c:f>Sheet1!$O$5</c:f>
              <c:strCache>
                <c:ptCount val="1"/>
                <c:pt idx="0">
                  <c:v>Total</c:v>
                </c:pt>
              </c:strCache>
            </c:strRef>
          </c:tx>
          <c:spPr>
            <a:solidFill>
              <a:schemeClr val="accent1"/>
            </a:solidFill>
            <a:ln>
              <a:noFill/>
            </a:ln>
            <a:effectLst/>
          </c:spPr>
          <c:cat>
            <c:strRef>
              <c:f>Sheet1!$N$6:$N$37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Sheet1!$O$6:$O$37</c:f>
              <c:numCache>
                <c:formatCode>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2F00-4650-AA42-C33AAB1F9A23}"/>
            </c:ext>
          </c:extLst>
        </c:ser>
        <c:dLbls>
          <c:showLegendKey val="0"/>
          <c:showVal val="0"/>
          <c:showCatName val="0"/>
          <c:showSerName val="0"/>
          <c:showPercent val="0"/>
          <c:showBubbleSize val="0"/>
        </c:dLbls>
        <c:axId val="1904871487"/>
        <c:axId val="93674336"/>
      </c:areaChart>
      <c:catAx>
        <c:axId val="1904871487"/>
        <c:scaling>
          <c:orientation val="minMax"/>
        </c:scaling>
        <c:delete val="1"/>
        <c:axPos val="b"/>
        <c:numFmt formatCode="General" sourceLinked="1"/>
        <c:majorTickMark val="out"/>
        <c:minorTickMark val="none"/>
        <c:tickLblPos val="nextTo"/>
        <c:crossAx val="93674336"/>
        <c:crosses val="autoZero"/>
        <c:auto val="1"/>
        <c:lblAlgn val="ctr"/>
        <c:lblOffset val="100"/>
        <c:noMultiLvlLbl val="0"/>
      </c:catAx>
      <c:valAx>
        <c:axId val="93674336"/>
        <c:scaling>
          <c:orientation val="minMax"/>
        </c:scaling>
        <c:delete val="1"/>
        <c:axPos val="l"/>
        <c:numFmt formatCode="0.0" sourceLinked="1"/>
        <c:majorTickMark val="none"/>
        <c:minorTickMark val="none"/>
        <c:tickLblPos val="nextTo"/>
        <c:crossAx val="190487148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102908482855723E-2"/>
          <c:y val="7.5655053793014298E-3"/>
          <c:w val="0.96710742530294869"/>
          <c:h val="0.71834483994403486"/>
        </c:manualLayout>
      </c:layout>
      <c:barChart>
        <c:barDir val="col"/>
        <c:grouping val="clustered"/>
        <c:varyColors val="0"/>
        <c:ser>
          <c:idx val="0"/>
          <c:order val="0"/>
          <c:tx>
            <c:strRef>
              <c:f>Sheet1!$B$58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Sheet1!$A$59:$A$67</c:f>
              <c:strCache>
                <c:ptCount val="8"/>
                <c:pt idx="0">
                  <c:v>0-09</c:v>
                </c:pt>
                <c:pt idx="1">
                  <c:v>10-19</c:v>
                </c:pt>
                <c:pt idx="2">
                  <c:v>20-29</c:v>
                </c:pt>
                <c:pt idx="3">
                  <c:v>30-39</c:v>
                </c:pt>
                <c:pt idx="4">
                  <c:v>40-49</c:v>
                </c:pt>
                <c:pt idx="5">
                  <c:v>50-59</c:v>
                </c:pt>
                <c:pt idx="6">
                  <c:v>60-69</c:v>
                </c:pt>
                <c:pt idx="7">
                  <c:v>70-79</c:v>
                </c:pt>
              </c:strCache>
            </c:strRef>
          </c:cat>
          <c:val>
            <c:numRef>
              <c:f>Sheet1!$B$59:$B$67</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0-3DE6-42E7-8579-956B652F7E80}"/>
            </c:ext>
          </c:extLst>
        </c:ser>
        <c:dLbls>
          <c:dLblPos val="inEnd"/>
          <c:showLegendKey val="0"/>
          <c:showVal val="1"/>
          <c:showCatName val="0"/>
          <c:showSerName val="0"/>
          <c:showPercent val="0"/>
          <c:showBubbleSize val="0"/>
        </c:dLbls>
        <c:gapWidth val="41"/>
        <c:axId val="1904838543"/>
        <c:axId val="968513023"/>
      </c:barChart>
      <c:catAx>
        <c:axId val="1904838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68513023"/>
        <c:crosses val="autoZero"/>
        <c:auto val="1"/>
        <c:lblAlgn val="ctr"/>
        <c:lblOffset val="100"/>
        <c:noMultiLvlLbl val="0"/>
      </c:catAx>
      <c:valAx>
        <c:axId val="968513023"/>
        <c:scaling>
          <c:orientation val="minMax"/>
        </c:scaling>
        <c:delete val="1"/>
        <c:axPos val="l"/>
        <c:numFmt formatCode="0" sourceLinked="1"/>
        <c:majorTickMark val="none"/>
        <c:minorTickMark val="none"/>
        <c:tickLblPos val="nextTo"/>
        <c:crossAx val="19048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project.xlsx]Sheet1!PivotTable9</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584181434968216"/>
          <c:y val="0.14024584176513971"/>
          <c:w val="0.6251269215948162"/>
          <c:h val="0.66557735940447671"/>
        </c:manualLayout>
      </c:layout>
      <c:pieChart>
        <c:varyColors val="1"/>
        <c:ser>
          <c:idx val="0"/>
          <c:order val="0"/>
          <c:tx>
            <c:strRef>
              <c:f>Sheet1!$F$58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968-4BF2-879D-DBA4769A1EA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968-4BF2-879D-DBA4769A1E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Sheet1!$E$59:$E$61</c:f>
              <c:strCache>
                <c:ptCount val="2"/>
                <c:pt idx="0">
                  <c:v>Delay</c:v>
                </c:pt>
                <c:pt idx="1">
                  <c:v>Ontime</c:v>
                </c:pt>
              </c:strCache>
            </c:strRef>
          </c:cat>
          <c:val>
            <c:numRef>
              <c:f>Sheet1!$F$59:$F$61</c:f>
              <c:numCache>
                <c:formatCode>0</c:formatCode>
                <c:ptCount val="2"/>
                <c:pt idx="0">
                  <c:v>324</c:v>
                </c:pt>
                <c:pt idx="1">
                  <c:v>195</c:v>
                </c:pt>
              </c:numCache>
            </c:numRef>
          </c:val>
          <c:extLst>
            <c:ext xmlns:c16="http://schemas.microsoft.com/office/drawing/2014/chart" uri="{C3380CC4-5D6E-409C-BE32-E72D297353CC}">
              <c16:uniqueId val="{00000004-F968-4BF2-879D-DBA4769A1EA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599950905566575"/>
          <c:y val="1.607722660850878E-4"/>
          <c:w val="0.71972540806154406"/>
          <c:h val="0.13682020989386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project.xlsx]Sheet1!PivotTable11</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72385921694051"/>
          <c:y val="0.13617679340847125"/>
          <c:w val="0.69421700862844782"/>
          <c:h val="0.72140897757687705"/>
        </c:manualLayout>
      </c:layout>
      <c:doughnutChart>
        <c:varyColors val="1"/>
        <c:ser>
          <c:idx val="0"/>
          <c:order val="0"/>
          <c:tx>
            <c:strRef>
              <c:f>Sheet1!$B$72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E1F-4C95-8C89-7004218C810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E1F-4C95-8C89-7004218C81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Sheet1!$A$73:$A$75</c:f>
              <c:strCache>
                <c:ptCount val="2"/>
                <c:pt idx="0">
                  <c:v>Female</c:v>
                </c:pt>
                <c:pt idx="1">
                  <c:v>Male</c:v>
                </c:pt>
              </c:strCache>
            </c:strRef>
          </c:cat>
          <c:val>
            <c:numRef>
              <c:f>Sheet1!$B$73:$B$75</c:f>
              <c:numCache>
                <c:formatCode>0</c:formatCode>
                <c:ptCount val="2"/>
                <c:pt idx="0">
                  <c:v>254</c:v>
                </c:pt>
                <c:pt idx="1">
                  <c:v>265</c:v>
                </c:pt>
              </c:numCache>
            </c:numRef>
          </c:val>
          <c:extLst>
            <c:ext xmlns:c16="http://schemas.microsoft.com/office/drawing/2014/chart" uri="{C3380CC4-5D6E-409C-BE32-E72D297353CC}">
              <c16:uniqueId val="{00000004-4E1F-4C95-8C89-7004218C810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9.9874263632859436E-2"/>
          <c:y val="0"/>
          <c:w val="0.80036526855412804"/>
          <c:h val="0.145329751318688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project.xlsx]Sheet1!PivotTable12</c:name>
    <c:fmtId val="3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337746318936"/>
          <c:y val="6.811884055833313E-2"/>
          <c:w val="0.62346884331953945"/>
          <c:h val="0.87127014148739101"/>
        </c:manualLayout>
      </c:layout>
      <c:barChart>
        <c:barDir val="bar"/>
        <c:grouping val="clustered"/>
        <c:varyColors val="0"/>
        <c:ser>
          <c:idx val="0"/>
          <c:order val="0"/>
          <c:tx>
            <c:strRef>
              <c:f>Sheet1!$B$87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Sheet1!$A$88:$A$96</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Sheet1!$B$88:$B$96</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E358-4953-B5B1-95F949FC424B}"/>
            </c:ext>
          </c:extLst>
        </c:ser>
        <c:dLbls>
          <c:showLegendKey val="0"/>
          <c:showVal val="0"/>
          <c:showCatName val="0"/>
          <c:showSerName val="0"/>
          <c:showPercent val="0"/>
          <c:showBubbleSize val="0"/>
        </c:dLbls>
        <c:gapWidth val="24"/>
        <c:axId val="1226744719"/>
        <c:axId val="93641696"/>
      </c:barChart>
      <c:catAx>
        <c:axId val="122674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93641696"/>
        <c:crosses val="autoZero"/>
        <c:auto val="1"/>
        <c:lblAlgn val="ctr"/>
        <c:lblOffset val="100"/>
        <c:noMultiLvlLbl val="0"/>
      </c:catAx>
      <c:valAx>
        <c:axId val="93641696"/>
        <c:scaling>
          <c:orientation val="minMax"/>
        </c:scaling>
        <c:delete val="1"/>
        <c:axPos val="b"/>
        <c:numFmt formatCode="0" sourceLinked="1"/>
        <c:majorTickMark val="none"/>
        <c:minorTickMark val="none"/>
        <c:tickLblPos val="nextTo"/>
        <c:crossAx val="1226744719"/>
        <c:crosses val="autoZero"/>
        <c:crossBetween val="between"/>
      </c:valAx>
      <c:spPr>
        <a:noFill/>
        <a:ln w="0">
          <a:noFill/>
        </a:ln>
        <a:effectLst>
          <a:glow>
            <a:schemeClr val="accent1">
              <a:alpha val="40000"/>
            </a:schemeClr>
          </a:glow>
          <a:outerShdw blurRad="50800" dist="50800" dir="5400000" sx="1000" sy="1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33359394508892E-2"/>
          <c:y val="0.11716063935121883"/>
          <c:w val="0.91230205862821379"/>
          <c:h val="0.74859352161818093"/>
        </c:manualLayout>
      </c:layout>
      <c:areaChart>
        <c:grouping val="standard"/>
        <c:varyColors val="0"/>
        <c:ser>
          <c:idx val="0"/>
          <c:order val="0"/>
          <c:tx>
            <c:strRef>
              <c:f>Sheet1!$F$2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Sheet1!$E$3:$E$34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Sheet1!$F$3:$F$34</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7CB5-4C8C-BA89-9C8C438EF35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51773919"/>
        <c:axId val="93659456"/>
      </c:areaChart>
      <c:catAx>
        <c:axId val="18517739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3659456"/>
        <c:crosses val="autoZero"/>
        <c:auto val="1"/>
        <c:lblAlgn val="ctr"/>
        <c:lblOffset val="100"/>
        <c:noMultiLvlLbl val="0"/>
      </c:catAx>
      <c:valAx>
        <c:axId val="93659456"/>
        <c:scaling>
          <c:orientation val="minMax"/>
        </c:scaling>
        <c:delete val="1"/>
        <c:axPos val="l"/>
        <c:numFmt formatCode="General" sourceLinked="1"/>
        <c:majorTickMark val="out"/>
        <c:minorTickMark val="none"/>
        <c:tickLblPos val="nextTo"/>
        <c:crossAx val="18517739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47363897325084E-2"/>
          <c:y val="0.19528916119803588"/>
          <c:w val="0.96930360161188056"/>
          <c:h val="0.76646269597248351"/>
        </c:manualLayout>
      </c:layout>
      <c:areaChart>
        <c:grouping val="standard"/>
        <c:varyColors val="0"/>
        <c:ser>
          <c:idx val="0"/>
          <c:order val="0"/>
          <c:tx>
            <c:strRef>
              <c:f>Sheet1!$K$5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Sheet1!$J$6:$J$37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Sheet1!$K$6:$K$37</c:f>
              <c:numCache>
                <c:formatCode>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AF5B-42BF-B6C3-AAA962C339B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04840399"/>
        <c:axId val="93641216"/>
      </c:areaChart>
      <c:catAx>
        <c:axId val="19048403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93641216"/>
        <c:crosses val="autoZero"/>
        <c:auto val="1"/>
        <c:lblAlgn val="ctr"/>
        <c:lblOffset val="100"/>
        <c:noMultiLvlLbl val="0"/>
      </c:catAx>
      <c:valAx>
        <c:axId val="93641216"/>
        <c:scaling>
          <c:orientation val="minMax"/>
        </c:scaling>
        <c:delete val="1"/>
        <c:axPos val="l"/>
        <c:numFmt formatCode="0.0" sourceLinked="1"/>
        <c:majorTickMark val="out"/>
        <c:minorTickMark val="none"/>
        <c:tickLblPos val="nextTo"/>
        <c:crossAx val="1904840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0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excel project.xlsx]Sheet1!PivotTable6</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83967059879598E-2"/>
          <c:y val="0.29627867513539657"/>
          <c:w val="0.95308686785898977"/>
          <c:h val="0.52692754795378682"/>
        </c:manualLayout>
      </c:layout>
      <c:areaChart>
        <c:grouping val="standard"/>
        <c:varyColors val="0"/>
        <c:ser>
          <c:idx val="0"/>
          <c:order val="0"/>
          <c:tx>
            <c:strRef>
              <c:f>Sheet1!$O$5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Sheet1!$N$6:$N$37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Sheet1!$O$6:$O$37</c:f>
              <c:numCache>
                <c:formatCode>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079F-4536-823A-4B93BA43D56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04871487"/>
        <c:axId val="93674336"/>
      </c:areaChart>
      <c:catAx>
        <c:axId val="19048714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93674336"/>
        <c:crosses val="autoZero"/>
        <c:auto val="1"/>
        <c:lblAlgn val="ctr"/>
        <c:lblOffset val="100"/>
        <c:noMultiLvlLbl val="0"/>
      </c:catAx>
      <c:valAx>
        <c:axId val="93674336"/>
        <c:scaling>
          <c:orientation val="minMax"/>
        </c:scaling>
        <c:delete val="1"/>
        <c:axPos val="l"/>
        <c:numFmt formatCode="0.0" sourceLinked="1"/>
        <c:majorTickMark val="out"/>
        <c:minorTickMark val="none"/>
        <c:tickLblPos val="nextTo"/>
        <c:crossAx val="19048714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patient satisfaction score '!A1"/><Relationship Id="rId18" Type="http://schemas.openxmlformats.org/officeDocument/2006/relationships/chart" Target="../charts/chart9.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5.xml"/><Relationship Id="rId17" Type="http://schemas.openxmlformats.org/officeDocument/2006/relationships/chart" Target="../charts/chart8.xml"/><Relationship Id="rId2" Type="http://schemas.openxmlformats.org/officeDocument/2006/relationships/image" Target="../media/image1.png"/><Relationship Id="rId16" Type="http://schemas.openxmlformats.org/officeDocument/2006/relationships/chart" Target="../charts/chart7.xml"/><Relationship Id="rId1" Type="http://schemas.openxmlformats.org/officeDocument/2006/relationships/hyperlink" Target="#Dashboard!A1"/><Relationship Id="rId6" Type="http://schemas.openxmlformats.org/officeDocument/2006/relationships/image" Target="../media/image5.svg"/><Relationship Id="rId11" Type="http://schemas.openxmlformats.org/officeDocument/2006/relationships/hyperlink" Target="#'Avg wait time'!A1"/><Relationship Id="rId5" Type="http://schemas.openxmlformats.org/officeDocument/2006/relationships/image" Target="../media/image4.png"/><Relationship Id="rId15" Type="http://schemas.openxmlformats.org/officeDocument/2006/relationships/image" Target="../media/image8.emf"/><Relationship Id="rId10" Type="http://schemas.openxmlformats.org/officeDocument/2006/relationships/chart" Target="../charts/chart4.xml"/><Relationship Id="rId19" Type="http://schemas.openxmlformats.org/officeDocument/2006/relationships/chart" Target="../charts/chart10.xml"/><Relationship Id="rId4" Type="http://schemas.openxmlformats.org/officeDocument/2006/relationships/image" Target="../media/image3.svg"/><Relationship Id="rId9" Type="http://schemas.openxmlformats.org/officeDocument/2006/relationships/hyperlink" Target="#'PATIENT DATA'!A1"/><Relationship Id="rId1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xdr:col>
      <xdr:colOff>142875</xdr:colOff>
      <xdr:row>52</xdr:row>
      <xdr:rowOff>28575</xdr:rowOff>
    </xdr:from>
    <xdr:to>
      <xdr:col>3</xdr:col>
      <xdr:colOff>1171575</xdr:colOff>
      <xdr:row>54</xdr:row>
      <xdr:rowOff>38100</xdr:rowOff>
    </xdr:to>
    <xdr:graphicFrame macro="">
      <xdr:nvGraphicFramePr>
        <xdr:cNvPr id="8" name="Chart 7">
          <a:extLst>
            <a:ext uri="{FF2B5EF4-FFF2-40B4-BE49-F238E27FC236}">
              <a16:creationId xmlns:a16="http://schemas.microsoft.com/office/drawing/2014/main" id="{EBB7F221-83DE-D65E-46AE-99226918A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57151</xdr:colOff>
      <xdr:row>76</xdr:row>
      <xdr:rowOff>9526</xdr:rowOff>
    </xdr:from>
    <xdr:to>
      <xdr:col>1</xdr:col>
      <xdr:colOff>923926</xdr:colOff>
      <xdr:row>83</xdr:row>
      <xdr:rowOff>9526</xdr:rowOff>
    </xdr:to>
    <xdr:graphicFrame macro="">
      <xdr:nvGraphicFramePr>
        <xdr:cNvPr id="14" name="Chart 13">
          <a:extLst>
            <a:ext uri="{FF2B5EF4-FFF2-40B4-BE49-F238E27FC236}">
              <a16:creationId xmlns:a16="http://schemas.microsoft.com/office/drawing/2014/main" id="{59AFBA53-9019-930E-6AE7-67FB5673C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96</xdr:row>
      <xdr:rowOff>161924</xdr:rowOff>
    </xdr:from>
    <xdr:to>
      <xdr:col>2</xdr:col>
      <xdr:colOff>561975</xdr:colOff>
      <xdr:row>106</xdr:row>
      <xdr:rowOff>80961</xdr:rowOff>
    </xdr:to>
    <xdr:graphicFrame macro="">
      <xdr:nvGraphicFramePr>
        <xdr:cNvPr id="15" name="Chart 14">
          <a:extLst>
            <a:ext uri="{FF2B5EF4-FFF2-40B4-BE49-F238E27FC236}">
              <a16:creationId xmlns:a16="http://schemas.microsoft.com/office/drawing/2014/main" id="{876AE84D-C2A8-AA88-D996-EA0CE6D79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113</xdr:row>
      <xdr:rowOff>104775</xdr:rowOff>
    </xdr:from>
    <xdr:to>
      <xdr:col>1</xdr:col>
      <xdr:colOff>466725</xdr:colOff>
      <xdr:row>120</xdr:row>
      <xdr:rowOff>171450</xdr:rowOff>
    </xdr:to>
    <mc:AlternateContent xmlns:mc="http://schemas.openxmlformats.org/markup-compatibility/2006">
      <mc:Choice xmlns:a14="http://schemas.microsoft.com/office/drawing/2010/main" Requires="a14">
        <xdr:graphicFrame macro="">
          <xdr:nvGraphicFramePr>
            <xdr:cNvPr id="16" name="Date (Year)">
              <a:extLst>
                <a:ext uri="{FF2B5EF4-FFF2-40B4-BE49-F238E27FC236}">
                  <a16:creationId xmlns:a16="http://schemas.microsoft.com/office/drawing/2014/main" id="{3D418FF5-9BE0-4972-47A2-5977576FD20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7150" y="21631275"/>
              <a:ext cx="1600200"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31375</xdr:colOff>
      <xdr:row>0</xdr:row>
      <xdr:rowOff>77651</xdr:rowOff>
    </xdr:from>
    <xdr:to>
      <xdr:col>5</xdr:col>
      <xdr:colOff>220257</xdr:colOff>
      <xdr:row>3</xdr:row>
      <xdr:rowOff>96701</xdr:rowOff>
    </xdr:to>
    <xdr:sp macro="" textlink="">
      <xdr:nvSpPr>
        <xdr:cNvPr id="2" name="Rectangle: Rounded Corners 1">
          <a:extLst>
            <a:ext uri="{FF2B5EF4-FFF2-40B4-BE49-F238E27FC236}">
              <a16:creationId xmlns:a16="http://schemas.microsoft.com/office/drawing/2014/main" id="{523EC5A5-06C8-7256-D501-2C59896F6C58}"/>
            </a:ext>
          </a:extLst>
        </xdr:cNvPr>
        <xdr:cNvSpPr/>
      </xdr:nvSpPr>
      <xdr:spPr>
        <a:xfrm>
          <a:off x="31375" y="77651"/>
          <a:ext cx="3235166" cy="58540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306421</xdr:colOff>
      <xdr:row>0</xdr:row>
      <xdr:rowOff>76200</xdr:rowOff>
    </xdr:from>
    <xdr:to>
      <xdr:col>8</xdr:col>
      <xdr:colOff>36918</xdr:colOff>
      <xdr:row>3</xdr:row>
      <xdr:rowOff>103371</xdr:rowOff>
    </xdr:to>
    <xdr:sp macro="" textlink="">
      <xdr:nvSpPr>
        <xdr:cNvPr id="3" name="Rectangle: Rounded Corners 2">
          <a:extLst>
            <a:ext uri="{FF2B5EF4-FFF2-40B4-BE49-F238E27FC236}">
              <a16:creationId xmlns:a16="http://schemas.microsoft.com/office/drawing/2014/main" id="{1510F837-8449-203E-F2AA-D047E90B8A71}"/>
            </a:ext>
          </a:extLst>
        </xdr:cNvPr>
        <xdr:cNvSpPr/>
      </xdr:nvSpPr>
      <xdr:spPr>
        <a:xfrm>
          <a:off x="3370665" y="76200"/>
          <a:ext cx="1569044" cy="60310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96869</xdr:colOff>
      <xdr:row>0</xdr:row>
      <xdr:rowOff>66676</xdr:rowOff>
    </xdr:from>
    <xdr:to>
      <xdr:col>10</xdr:col>
      <xdr:colOff>391337</xdr:colOff>
      <xdr:row>7</xdr:row>
      <xdr:rowOff>125523</xdr:rowOff>
    </xdr:to>
    <xdr:sp macro="" textlink="">
      <xdr:nvSpPr>
        <xdr:cNvPr id="4" name="Rectangle: Rounded Corners 3">
          <a:extLst>
            <a:ext uri="{FF2B5EF4-FFF2-40B4-BE49-F238E27FC236}">
              <a16:creationId xmlns:a16="http://schemas.microsoft.com/office/drawing/2014/main" id="{83E6B006-566E-7CE9-50FA-4F5D53C25305}"/>
            </a:ext>
          </a:extLst>
        </xdr:cNvPr>
        <xdr:cNvSpPr/>
      </xdr:nvSpPr>
      <xdr:spPr>
        <a:xfrm>
          <a:off x="4999660" y="66676"/>
          <a:ext cx="1520165" cy="140268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411195</xdr:colOff>
      <xdr:row>0</xdr:row>
      <xdr:rowOff>66676</xdr:rowOff>
    </xdr:from>
    <xdr:to>
      <xdr:col>13</xdr:col>
      <xdr:colOff>51686</xdr:colOff>
      <xdr:row>7</xdr:row>
      <xdr:rowOff>132907</xdr:rowOff>
    </xdr:to>
    <xdr:sp macro="" textlink="">
      <xdr:nvSpPr>
        <xdr:cNvPr id="5" name="Rectangle: Rounded Corners 4">
          <a:extLst>
            <a:ext uri="{FF2B5EF4-FFF2-40B4-BE49-F238E27FC236}">
              <a16:creationId xmlns:a16="http://schemas.microsoft.com/office/drawing/2014/main" id="{9CBA9773-EDCA-17A2-B675-8E214D8EA180}"/>
            </a:ext>
          </a:extLst>
        </xdr:cNvPr>
        <xdr:cNvSpPr/>
      </xdr:nvSpPr>
      <xdr:spPr>
        <a:xfrm>
          <a:off x="6539683" y="66676"/>
          <a:ext cx="1479038" cy="141006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29535</xdr:colOff>
      <xdr:row>3</xdr:row>
      <xdr:rowOff>161924</xdr:rowOff>
    </xdr:from>
    <xdr:to>
      <xdr:col>1</xdr:col>
      <xdr:colOff>273198</xdr:colOff>
      <xdr:row>17</xdr:row>
      <xdr:rowOff>14766</xdr:rowOff>
    </xdr:to>
    <xdr:sp macro="" textlink="">
      <xdr:nvSpPr>
        <xdr:cNvPr id="6" name="Rectangle: Rounded Corners 5">
          <a:extLst>
            <a:ext uri="{FF2B5EF4-FFF2-40B4-BE49-F238E27FC236}">
              <a16:creationId xmlns:a16="http://schemas.microsoft.com/office/drawing/2014/main" id="{F08C531C-D820-95BD-79D1-D53FD8C73D4C}"/>
            </a:ext>
          </a:extLst>
        </xdr:cNvPr>
        <xdr:cNvSpPr/>
      </xdr:nvSpPr>
      <xdr:spPr>
        <a:xfrm>
          <a:off x="29535" y="737854"/>
          <a:ext cx="856512" cy="254051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295351</xdr:colOff>
      <xdr:row>3</xdr:row>
      <xdr:rowOff>140292</xdr:rowOff>
    </xdr:from>
    <xdr:to>
      <xdr:col>3</xdr:col>
      <xdr:colOff>391339</xdr:colOff>
      <xdr:row>8</xdr:row>
      <xdr:rowOff>49806</xdr:rowOff>
    </xdr:to>
    <xdr:sp macro="" textlink="">
      <xdr:nvSpPr>
        <xdr:cNvPr id="11" name="Rectangle: Rounded Corners 10">
          <a:extLst>
            <a:ext uri="{FF2B5EF4-FFF2-40B4-BE49-F238E27FC236}">
              <a16:creationId xmlns:a16="http://schemas.microsoft.com/office/drawing/2014/main" id="{18422A0B-23EA-BCBF-D23A-68DFACD56444}"/>
            </a:ext>
          </a:extLst>
        </xdr:cNvPr>
        <xdr:cNvSpPr/>
      </xdr:nvSpPr>
      <xdr:spPr>
        <a:xfrm>
          <a:off x="908200" y="716222"/>
          <a:ext cx="1321686" cy="8693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428404</xdr:colOff>
      <xdr:row>3</xdr:row>
      <xdr:rowOff>156684</xdr:rowOff>
    </xdr:from>
    <xdr:to>
      <xdr:col>5</xdr:col>
      <xdr:colOff>523654</xdr:colOff>
      <xdr:row>8</xdr:row>
      <xdr:rowOff>61433</xdr:rowOff>
    </xdr:to>
    <xdr:sp macro="" textlink="">
      <xdr:nvSpPr>
        <xdr:cNvPr id="12" name="Rectangle: Rounded Corners 11">
          <a:extLst>
            <a:ext uri="{FF2B5EF4-FFF2-40B4-BE49-F238E27FC236}">
              <a16:creationId xmlns:a16="http://schemas.microsoft.com/office/drawing/2014/main" id="{28383D89-12E1-3570-B746-EA91181ED615}"/>
            </a:ext>
          </a:extLst>
        </xdr:cNvPr>
        <xdr:cNvSpPr/>
      </xdr:nvSpPr>
      <xdr:spPr>
        <a:xfrm>
          <a:off x="2266951" y="732614"/>
          <a:ext cx="1320947" cy="86463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553780</xdr:colOff>
      <xdr:row>3</xdr:row>
      <xdr:rowOff>141917</xdr:rowOff>
    </xdr:from>
    <xdr:to>
      <xdr:col>8</xdr:col>
      <xdr:colOff>66454</xdr:colOff>
      <xdr:row>8</xdr:row>
      <xdr:rowOff>51687</xdr:rowOff>
    </xdr:to>
    <xdr:sp macro="" textlink="">
      <xdr:nvSpPr>
        <xdr:cNvPr id="13" name="Rectangle: Rounded Corners 12">
          <a:extLst>
            <a:ext uri="{FF2B5EF4-FFF2-40B4-BE49-F238E27FC236}">
              <a16:creationId xmlns:a16="http://schemas.microsoft.com/office/drawing/2014/main" id="{B2166EFC-F828-AC09-E25E-FB150F22FD35}"/>
            </a:ext>
          </a:extLst>
        </xdr:cNvPr>
        <xdr:cNvSpPr/>
      </xdr:nvSpPr>
      <xdr:spPr>
        <a:xfrm>
          <a:off x="3618024" y="717847"/>
          <a:ext cx="1351221" cy="86965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295349</xdr:colOff>
      <xdr:row>8</xdr:row>
      <xdr:rowOff>81221</xdr:rowOff>
    </xdr:from>
    <xdr:to>
      <xdr:col>8</xdr:col>
      <xdr:colOff>66453</xdr:colOff>
      <xdr:row>11</xdr:row>
      <xdr:rowOff>0</xdr:rowOff>
    </xdr:to>
    <xdr:sp macro="" textlink="">
      <xdr:nvSpPr>
        <xdr:cNvPr id="14" name="Rectangle 13">
          <a:hlinkClick xmlns:r="http://schemas.openxmlformats.org/officeDocument/2006/relationships" r:id="rId1"/>
          <a:extLst>
            <a:ext uri="{FF2B5EF4-FFF2-40B4-BE49-F238E27FC236}">
              <a16:creationId xmlns:a16="http://schemas.microsoft.com/office/drawing/2014/main" id="{BA47F420-795F-AD66-D4B7-76D38CEF665E}"/>
            </a:ext>
          </a:extLst>
        </xdr:cNvPr>
        <xdr:cNvSpPr/>
      </xdr:nvSpPr>
      <xdr:spPr>
        <a:xfrm>
          <a:off x="908198" y="1617035"/>
          <a:ext cx="4061046" cy="494709"/>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302732</xdr:colOff>
      <xdr:row>11</xdr:row>
      <xdr:rowOff>44304</xdr:rowOff>
    </xdr:from>
    <xdr:to>
      <xdr:col>8</xdr:col>
      <xdr:colOff>88605</xdr:colOff>
      <xdr:row>17</xdr:row>
      <xdr:rowOff>14767</xdr:rowOff>
    </xdr:to>
    <xdr:sp macro="" textlink="">
      <xdr:nvSpPr>
        <xdr:cNvPr id="15" name="Rectangle: Rounded Corners 14">
          <a:extLst>
            <a:ext uri="{FF2B5EF4-FFF2-40B4-BE49-F238E27FC236}">
              <a16:creationId xmlns:a16="http://schemas.microsoft.com/office/drawing/2014/main" id="{53F5F49C-56E3-3C3F-966C-CC6C3114CB88}"/>
            </a:ext>
          </a:extLst>
        </xdr:cNvPr>
        <xdr:cNvSpPr/>
      </xdr:nvSpPr>
      <xdr:spPr>
        <a:xfrm>
          <a:off x="915581" y="2156048"/>
          <a:ext cx="4075815" cy="11223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132906</xdr:colOff>
      <xdr:row>7</xdr:row>
      <xdr:rowOff>137298</xdr:rowOff>
    </xdr:from>
    <xdr:to>
      <xdr:col>13</xdr:col>
      <xdr:colOff>77230</xdr:colOff>
      <xdr:row>17</xdr:row>
      <xdr:rowOff>29535</xdr:rowOff>
    </xdr:to>
    <xdr:sp macro="" textlink="">
      <xdr:nvSpPr>
        <xdr:cNvPr id="16" name="Rectangle: Rounded Corners 15">
          <a:extLst>
            <a:ext uri="{FF2B5EF4-FFF2-40B4-BE49-F238E27FC236}">
              <a16:creationId xmlns:a16="http://schemas.microsoft.com/office/drawing/2014/main" id="{324DBDE7-F3C7-2F97-3A05-23DAAA528268}"/>
            </a:ext>
          </a:extLst>
        </xdr:cNvPr>
        <xdr:cNvSpPr/>
      </xdr:nvSpPr>
      <xdr:spPr>
        <a:xfrm>
          <a:off x="5006960" y="1458784"/>
          <a:ext cx="2990608" cy="1780075"/>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73837</xdr:colOff>
      <xdr:row>0</xdr:row>
      <xdr:rowOff>110756</xdr:rowOff>
    </xdr:from>
    <xdr:to>
      <xdr:col>5</xdr:col>
      <xdr:colOff>7384</xdr:colOff>
      <xdr:row>1</xdr:row>
      <xdr:rowOff>184592</xdr:rowOff>
    </xdr:to>
    <xdr:sp macro="" textlink="">
      <xdr:nvSpPr>
        <xdr:cNvPr id="17" name="TextBox 16">
          <a:extLst>
            <a:ext uri="{FF2B5EF4-FFF2-40B4-BE49-F238E27FC236}">
              <a16:creationId xmlns:a16="http://schemas.microsoft.com/office/drawing/2014/main" id="{AAC505F9-C3CB-3322-4B46-1CB88324B313}"/>
            </a:ext>
          </a:extLst>
        </xdr:cNvPr>
        <xdr:cNvSpPr txBox="1"/>
      </xdr:nvSpPr>
      <xdr:spPr>
        <a:xfrm>
          <a:off x="686686" y="110756"/>
          <a:ext cx="2384942" cy="26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1"/>
            <a:t>Hospital Emergency Room Dashboard</a:t>
          </a:r>
        </a:p>
      </xdr:txBody>
    </xdr:sp>
    <xdr:clientData/>
  </xdr:twoCellAnchor>
  <xdr:twoCellAnchor editAs="oneCell">
    <xdr:from>
      <xdr:col>0</xdr:col>
      <xdr:colOff>125524</xdr:colOff>
      <xdr:row>0</xdr:row>
      <xdr:rowOff>118139</xdr:rowOff>
    </xdr:from>
    <xdr:to>
      <xdr:col>1</xdr:col>
      <xdr:colOff>98998</xdr:colOff>
      <xdr:row>3</xdr:row>
      <xdr:rowOff>14768</xdr:rowOff>
    </xdr:to>
    <xdr:pic>
      <xdr:nvPicPr>
        <xdr:cNvPr id="21" name="Picture 20">
          <a:extLst>
            <a:ext uri="{FF2B5EF4-FFF2-40B4-BE49-F238E27FC236}">
              <a16:creationId xmlns:a16="http://schemas.microsoft.com/office/drawing/2014/main" id="{7190058C-286A-C284-02B4-F31A7313071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9990" t="7828" r="21775" b="7635"/>
        <a:stretch>
          <a:fillRect/>
        </a:stretch>
      </xdr:blipFill>
      <xdr:spPr>
        <a:xfrm>
          <a:off x="125524" y="118139"/>
          <a:ext cx="586323" cy="472559"/>
        </a:xfrm>
        <a:prstGeom prst="rect">
          <a:avLst/>
        </a:prstGeom>
      </xdr:spPr>
    </xdr:pic>
    <xdr:clientData/>
  </xdr:twoCellAnchor>
  <xdr:twoCellAnchor editAs="absolute">
    <xdr:from>
      <xdr:col>1</xdr:col>
      <xdr:colOff>90446</xdr:colOff>
      <xdr:row>1</xdr:row>
      <xdr:rowOff>118140</xdr:rowOff>
    </xdr:from>
    <xdr:to>
      <xdr:col>3</xdr:col>
      <xdr:colOff>539012</xdr:colOff>
      <xdr:row>2</xdr:row>
      <xdr:rowOff>59071</xdr:rowOff>
    </xdr:to>
    <xdr:sp macro="" textlink="">
      <xdr:nvSpPr>
        <xdr:cNvPr id="22" name="TextBox 21">
          <a:extLst>
            <a:ext uri="{FF2B5EF4-FFF2-40B4-BE49-F238E27FC236}">
              <a16:creationId xmlns:a16="http://schemas.microsoft.com/office/drawing/2014/main" id="{33D161D4-E1F1-4CD5-851B-CC186E8A211C}"/>
            </a:ext>
          </a:extLst>
        </xdr:cNvPr>
        <xdr:cNvSpPr txBox="1"/>
      </xdr:nvSpPr>
      <xdr:spPr>
        <a:xfrm>
          <a:off x="703295" y="310117"/>
          <a:ext cx="1674264" cy="132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a:t>Monthly Report</a:t>
          </a:r>
        </a:p>
      </xdr:txBody>
    </xdr:sp>
    <xdr:clientData/>
  </xdr:twoCellAnchor>
  <xdr:twoCellAnchor editAs="absolute">
    <xdr:from>
      <xdr:col>1</xdr:col>
      <xdr:colOff>265816</xdr:colOff>
      <xdr:row>5</xdr:row>
      <xdr:rowOff>0</xdr:rowOff>
    </xdr:from>
    <xdr:to>
      <xdr:col>3</xdr:col>
      <xdr:colOff>339653</xdr:colOff>
      <xdr:row>5</xdr:row>
      <xdr:rowOff>132908</xdr:rowOff>
    </xdr:to>
    <xdr:sp macro="" textlink="">
      <xdr:nvSpPr>
        <xdr:cNvPr id="23" name="TextBox 22">
          <a:extLst>
            <a:ext uri="{FF2B5EF4-FFF2-40B4-BE49-F238E27FC236}">
              <a16:creationId xmlns:a16="http://schemas.microsoft.com/office/drawing/2014/main" id="{7431D1E4-553D-47BE-AD1C-8798F00F5380}"/>
            </a:ext>
          </a:extLst>
        </xdr:cNvPr>
        <xdr:cNvSpPr txBox="1"/>
      </xdr:nvSpPr>
      <xdr:spPr>
        <a:xfrm>
          <a:off x="878665" y="959884"/>
          <a:ext cx="1299535" cy="132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a:t>No.of Patient</a:t>
          </a:r>
        </a:p>
      </xdr:txBody>
    </xdr:sp>
    <xdr:clientData/>
  </xdr:twoCellAnchor>
  <xdr:twoCellAnchor editAs="absolute">
    <xdr:from>
      <xdr:col>1</xdr:col>
      <xdr:colOff>273199</xdr:colOff>
      <xdr:row>4</xdr:row>
      <xdr:rowOff>36919</xdr:rowOff>
    </xdr:from>
    <xdr:to>
      <xdr:col>3</xdr:col>
      <xdr:colOff>339654</xdr:colOff>
      <xdr:row>4</xdr:row>
      <xdr:rowOff>184592</xdr:rowOff>
    </xdr:to>
    <xdr:sp macro="" textlink="Sheet1!A2">
      <xdr:nvSpPr>
        <xdr:cNvPr id="24" name="TextBox 23">
          <a:extLst>
            <a:ext uri="{FF2B5EF4-FFF2-40B4-BE49-F238E27FC236}">
              <a16:creationId xmlns:a16="http://schemas.microsoft.com/office/drawing/2014/main" id="{9E73642B-FD6D-4AED-9C40-EF290886C690}"/>
            </a:ext>
          </a:extLst>
        </xdr:cNvPr>
        <xdr:cNvSpPr txBox="1"/>
      </xdr:nvSpPr>
      <xdr:spPr>
        <a:xfrm>
          <a:off x="886048" y="804826"/>
          <a:ext cx="1292153" cy="147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443C0CC-6CD3-403F-BF67-73A82811922B}" type="TxLink">
            <a:rPr lang="en-US" sz="1100" b="1" i="0" u="none" strike="noStrike">
              <a:solidFill>
                <a:srgbClr val="000000"/>
              </a:solidFill>
              <a:latin typeface="Aptos Narrow"/>
            </a:rPr>
            <a:pPr algn="ctr"/>
            <a:t>519</a:t>
          </a:fld>
          <a:endParaRPr lang="en-US" b="1"/>
        </a:p>
      </xdr:txBody>
    </xdr:sp>
    <xdr:clientData/>
  </xdr:twoCellAnchor>
  <xdr:twoCellAnchor editAs="absolute">
    <xdr:from>
      <xdr:col>3</xdr:col>
      <xdr:colOff>398722</xdr:colOff>
      <xdr:row>5</xdr:row>
      <xdr:rowOff>7384</xdr:rowOff>
    </xdr:from>
    <xdr:to>
      <xdr:col>5</xdr:col>
      <xdr:colOff>472560</xdr:colOff>
      <xdr:row>5</xdr:row>
      <xdr:rowOff>169823</xdr:rowOff>
    </xdr:to>
    <xdr:sp macro="" textlink="">
      <xdr:nvSpPr>
        <xdr:cNvPr id="27" name="TextBox 26">
          <a:extLst>
            <a:ext uri="{FF2B5EF4-FFF2-40B4-BE49-F238E27FC236}">
              <a16:creationId xmlns:a16="http://schemas.microsoft.com/office/drawing/2014/main" id="{54F0FE48-4BB6-E9BE-5EE8-9B08DE30148E}"/>
            </a:ext>
          </a:extLst>
        </xdr:cNvPr>
        <xdr:cNvSpPr txBox="1"/>
      </xdr:nvSpPr>
      <xdr:spPr>
        <a:xfrm>
          <a:off x="2237269" y="967268"/>
          <a:ext cx="1299535" cy="16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a:t>Average Wait Time</a:t>
          </a:r>
        </a:p>
      </xdr:txBody>
    </xdr:sp>
    <xdr:clientData/>
  </xdr:twoCellAnchor>
  <xdr:twoCellAnchor editAs="absolute">
    <xdr:from>
      <xdr:col>3</xdr:col>
      <xdr:colOff>354417</xdr:colOff>
      <xdr:row>4</xdr:row>
      <xdr:rowOff>51688</xdr:rowOff>
    </xdr:from>
    <xdr:to>
      <xdr:col>5</xdr:col>
      <xdr:colOff>420873</xdr:colOff>
      <xdr:row>5</xdr:row>
      <xdr:rowOff>7384</xdr:rowOff>
    </xdr:to>
    <xdr:sp macro="" textlink="Sheet1!A7">
      <xdr:nvSpPr>
        <xdr:cNvPr id="29" name="TextBox 28">
          <a:extLst>
            <a:ext uri="{FF2B5EF4-FFF2-40B4-BE49-F238E27FC236}">
              <a16:creationId xmlns:a16="http://schemas.microsoft.com/office/drawing/2014/main" id="{DB3F51C6-BCF7-C47E-8B22-1586C075CC4A}"/>
            </a:ext>
          </a:extLst>
        </xdr:cNvPr>
        <xdr:cNvSpPr txBox="1"/>
      </xdr:nvSpPr>
      <xdr:spPr>
        <a:xfrm>
          <a:off x="2192964" y="819595"/>
          <a:ext cx="1292153" cy="147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E376C50-4805-45AB-8754-AECA6EB8D44D}" type="TxLink">
            <a:rPr lang="en-US" sz="1100" b="1" i="0" u="none" strike="noStrike">
              <a:solidFill>
                <a:srgbClr val="000000"/>
              </a:solidFill>
              <a:latin typeface="Aptos Narrow"/>
            </a:rPr>
            <a:pPr algn="ctr"/>
            <a:t>35.80924855</a:t>
          </a:fld>
          <a:endParaRPr lang="en-US" b="1"/>
        </a:p>
      </xdr:txBody>
    </xdr:sp>
    <xdr:clientData/>
  </xdr:twoCellAnchor>
  <xdr:twoCellAnchor editAs="absolute">
    <xdr:from>
      <xdr:col>6</xdr:col>
      <xdr:colOff>95989</xdr:colOff>
      <xdr:row>4</xdr:row>
      <xdr:rowOff>44302</xdr:rowOff>
    </xdr:from>
    <xdr:to>
      <xdr:col>7</xdr:col>
      <xdr:colOff>406106</xdr:colOff>
      <xdr:row>5</xdr:row>
      <xdr:rowOff>22150</xdr:rowOff>
    </xdr:to>
    <xdr:sp macro="" textlink="Sheet1!A10">
      <xdr:nvSpPr>
        <xdr:cNvPr id="30" name="TextBox 29">
          <a:extLst>
            <a:ext uri="{FF2B5EF4-FFF2-40B4-BE49-F238E27FC236}">
              <a16:creationId xmlns:a16="http://schemas.microsoft.com/office/drawing/2014/main" id="{60E31577-D601-057E-95DB-4E972A4F15E0}"/>
            </a:ext>
          </a:extLst>
        </xdr:cNvPr>
        <xdr:cNvSpPr txBox="1"/>
      </xdr:nvSpPr>
      <xdr:spPr>
        <a:xfrm>
          <a:off x="3773082" y="812209"/>
          <a:ext cx="922966" cy="169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4DA5F34-B45B-488A-878E-B0CC5150ECED}" type="TxLink">
            <a:rPr lang="en-US" sz="1100" b="1" i="0" u="none" strike="noStrike">
              <a:solidFill>
                <a:srgbClr val="000000"/>
              </a:solidFill>
              <a:latin typeface="Aptos Narrow"/>
            </a:rPr>
            <a:pPr algn="ctr"/>
            <a:t>5.14556962</a:t>
          </a:fld>
          <a:endParaRPr lang="en-US" b="1"/>
        </a:p>
      </xdr:txBody>
    </xdr:sp>
    <xdr:clientData/>
  </xdr:twoCellAnchor>
  <xdr:twoCellAnchor editAs="absolute">
    <xdr:from>
      <xdr:col>5</xdr:col>
      <xdr:colOff>539011</xdr:colOff>
      <xdr:row>5</xdr:row>
      <xdr:rowOff>36916</xdr:rowOff>
    </xdr:from>
    <xdr:to>
      <xdr:col>7</xdr:col>
      <xdr:colOff>612848</xdr:colOff>
      <xdr:row>6</xdr:row>
      <xdr:rowOff>7379</xdr:rowOff>
    </xdr:to>
    <xdr:sp macro="" textlink="">
      <xdr:nvSpPr>
        <xdr:cNvPr id="31" name="TextBox 30">
          <a:extLst>
            <a:ext uri="{FF2B5EF4-FFF2-40B4-BE49-F238E27FC236}">
              <a16:creationId xmlns:a16="http://schemas.microsoft.com/office/drawing/2014/main" id="{47FE1B61-71B4-1217-BA82-A269062070CA}"/>
            </a:ext>
          </a:extLst>
        </xdr:cNvPr>
        <xdr:cNvSpPr txBox="1"/>
      </xdr:nvSpPr>
      <xdr:spPr>
        <a:xfrm>
          <a:off x="3603255" y="996800"/>
          <a:ext cx="1299535" cy="16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a:t>Patient Satisfaction</a:t>
          </a:r>
          <a:r>
            <a:rPr lang="en-US" sz="900" b="1" baseline="0"/>
            <a:t> Score</a:t>
          </a:r>
          <a:endParaRPr lang="en-US" sz="900" b="1"/>
        </a:p>
      </xdr:txBody>
    </xdr:sp>
    <xdr:clientData/>
  </xdr:twoCellAnchor>
  <xdr:twoCellAnchor editAs="oneCell">
    <xdr:from>
      <xdr:col>7</xdr:col>
      <xdr:colOff>391339</xdr:colOff>
      <xdr:row>3</xdr:row>
      <xdr:rowOff>190794</xdr:rowOff>
    </xdr:from>
    <xdr:to>
      <xdr:col>7</xdr:col>
      <xdr:colOff>583315</xdr:colOff>
      <xdr:row>4</xdr:row>
      <xdr:rowOff>190793</xdr:rowOff>
    </xdr:to>
    <xdr:pic>
      <xdr:nvPicPr>
        <xdr:cNvPr id="33" name="Graphic 32" descr="Checklist with solid fill">
          <a:extLst>
            <a:ext uri="{FF2B5EF4-FFF2-40B4-BE49-F238E27FC236}">
              <a16:creationId xmlns:a16="http://schemas.microsoft.com/office/drawing/2014/main" id="{99F2662F-497F-3807-5448-9C9120CE94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81281" y="766724"/>
          <a:ext cx="191976" cy="191976"/>
        </a:xfrm>
        <a:prstGeom prst="rect">
          <a:avLst/>
        </a:prstGeom>
      </xdr:spPr>
    </xdr:pic>
    <xdr:clientData/>
  </xdr:twoCellAnchor>
  <xdr:twoCellAnchor editAs="oneCell">
    <xdr:from>
      <xdr:col>5</xdr:col>
      <xdr:colOff>204014</xdr:colOff>
      <xdr:row>4</xdr:row>
      <xdr:rowOff>16684</xdr:rowOff>
    </xdr:from>
    <xdr:to>
      <xdr:col>5</xdr:col>
      <xdr:colOff>383954</xdr:colOff>
      <xdr:row>5</xdr:row>
      <xdr:rowOff>4647</xdr:rowOff>
    </xdr:to>
    <xdr:pic>
      <xdr:nvPicPr>
        <xdr:cNvPr id="37" name="Graphic 36" descr="Hourglass Finished with solid fill">
          <a:extLst>
            <a:ext uri="{FF2B5EF4-FFF2-40B4-BE49-F238E27FC236}">
              <a16:creationId xmlns:a16="http://schemas.microsoft.com/office/drawing/2014/main" id="{E2B5B806-62FF-BB36-BA07-C629267B0C7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V="1">
          <a:off x="3268258" y="784591"/>
          <a:ext cx="179940" cy="179940"/>
        </a:xfrm>
        <a:prstGeom prst="rect">
          <a:avLst/>
        </a:prstGeom>
      </xdr:spPr>
    </xdr:pic>
    <xdr:clientData/>
  </xdr:twoCellAnchor>
  <xdr:twoCellAnchor editAs="oneCell">
    <xdr:from>
      <xdr:col>3</xdr:col>
      <xdr:colOff>43901</xdr:colOff>
      <xdr:row>3</xdr:row>
      <xdr:rowOff>147265</xdr:rowOff>
    </xdr:from>
    <xdr:to>
      <xdr:col>3</xdr:col>
      <xdr:colOff>258435</xdr:colOff>
      <xdr:row>4</xdr:row>
      <xdr:rowOff>169822</xdr:rowOff>
    </xdr:to>
    <xdr:pic>
      <xdr:nvPicPr>
        <xdr:cNvPr id="39" name="Graphic 38" descr="User with solid fill">
          <a:extLst>
            <a:ext uri="{FF2B5EF4-FFF2-40B4-BE49-F238E27FC236}">
              <a16:creationId xmlns:a16="http://schemas.microsoft.com/office/drawing/2014/main" id="{236ABCFB-8B54-6F7E-7483-E3AE6DFC2E8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82448" y="723195"/>
          <a:ext cx="214534" cy="214534"/>
        </a:xfrm>
        <a:prstGeom prst="rect">
          <a:avLst/>
        </a:prstGeom>
      </xdr:spPr>
    </xdr:pic>
    <xdr:clientData/>
  </xdr:twoCellAnchor>
  <xdr:twoCellAnchor editAs="oneCell">
    <xdr:from>
      <xdr:col>0</xdr:col>
      <xdr:colOff>51685</xdr:colOff>
      <xdr:row>4</xdr:row>
      <xdr:rowOff>103372</xdr:rowOff>
    </xdr:from>
    <xdr:to>
      <xdr:col>1</xdr:col>
      <xdr:colOff>214128</xdr:colOff>
      <xdr:row>16</xdr:row>
      <xdr:rowOff>95987</xdr:rowOff>
    </xdr:to>
    <mc:AlternateContent xmlns:mc="http://schemas.openxmlformats.org/markup-compatibility/2006">
      <mc:Choice xmlns:a14="http://schemas.microsoft.com/office/drawing/2010/main" Requires="a14">
        <xdr:graphicFrame macro="">
          <xdr:nvGraphicFramePr>
            <xdr:cNvPr id="7" name="Date (Month)">
              <a:extLst>
                <a:ext uri="{FF2B5EF4-FFF2-40B4-BE49-F238E27FC236}">
                  <a16:creationId xmlns:a16="http://schemas.microsoft.com/office/drawing/2014/main" id="{1DD16432-137E-4768-AFED-CD146741923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51685" y="858507"/>
              <a:ext cx="771700" cy="2258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310116</xdr:colOff>
      <xdr:row>5</xdr:row>
      <xdr:rowOff>1</xdr:rowOff>
    </xdr:from>
    <xdr:to>
      <xdr:col>3</xdr:col>
      <xdr:colOff>376570</xdr:colOff>
      <xdr:row>7</xdr:row>
      <xdr:rowOff>147676</xdr:rowOff>
    </xdr:to>
    <xdr:graphicFrame macro="">
      <xdr:nvGraphicFramePr>
        <xdr:cNvPr id="8" name="Chart 7">
          <a:hlinkClick xmlns:r="http://schemas.openxmlformats.org/officeDocument/2006/relationships" r:id="rId9"/>
          <a:extLst>
            <a:ext uri="{FF2B5EF4-FFF2-40B4-BE49-F238E27FC236}">
              <a16:creationId xmlns:a16="http://schemas.microsoft.com/office/drawing/2014/main" id="{C8D26845-0DE1-4D10-979F-6774D6287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443023</xdr:colOff>
      <xdr:row>5</xdr:row>
      <xdr:rowOff>81223</xdr:rowOff>
    </xdr:from>
    <xdr:to>
      <xdr:col>5</xdr:col>
      <xdr:colOff>494710</xdr:colOff>
      <xdr:row>7</xdr:row>
      <xdr:rowOff>162444</xdr:rowOff>
    </xdr:to>
    <xdr:graphicFrame macro="">
      <xdr:nvGraphicFramePr>
        <xdr:cNvPr id="9" name="Chart 8">
          <a:hlinkClick xmlns:r="http://schemas.openxmlformats.org/officeDocument/2006/relationships" r:id="rId11"/>
          <a:extLst>
            <a:ext uri="{FF2B5EF4-FFF2-40B4-BE49-F238E27FC236}">
              <a16:creationId xmlns:a16="http://schemas.microsoft.com/office/drawing/2014/main" id="{1338336E-E8F2-4943-9111-8EB9FB14F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575931</xdr:colOff>
      <xdr:row>5</xdr:row>
      <xdr:rowOff>140290</xdr:rowOff>
    </xdr:from>
    <xdr:to>
      <xdr:col>8</xdr:col>
      <xdr:colOff>44302</xdr:colOff>
      <xdr:row>8</xdr:row>
      <xdr:rowOff>0</xdr:rowOff>
    </xdr:to>
    <xdr:graphicFrame macro="">
      <xdr:nvGraphicFramePr>
        <xdr:cNvPr id="10" name="Chart 9">
          <a:hlinkClick xmlns:r="http://schemas.openxmlformats.org/officeDocument/2006/relationships" r:id="rId13"/>
          <a:extLst>
            <a:ext uri="{FF2B5EF4-FFF2-40B4-BE49-F238E27FC236}">
              <a16:creationId xmlns:a16="http://schemas.microsoft.com/office/drawing/2014/main" id="{87DEDCAB-9774-4F82-A524-2CAFDF35F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302732</xdr:colOff>
      <xdr:row>8</xdr:row>
      <xdr:rowOff>77545</xdr:rowOff>
    </xdr:from>
    <xdr:to>
      <xdr:col>8</xdr:col>
      <xdr:colOff>81221</xdr:colOff>
      <xdr:row>11</xdr:row>
      <xdr:rowOff>12594</xdr:rowOff>
    </xdr:to>
    <xdr:pic>
      <xdr:nvPicPr>
        <xdr:cNvPr id="28" name="Picture 27">
          <a:extLst>
            <a:ext uri="{FF2B5EF4-FFF2-40B4-BE49-F238E27FC236}">
              <a16:creationId xmlns:a16="http://schemas.microsoft.com/office/drawing/2014/main" id="{5C4DA2A3-8A97-0436-0AFE-7A829D17378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15581" y="1613359"/>
          <a:ext cx="4068431" cy="510979"/>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406104</xdr:colOff>
      <xdr:row>11</xdr:row>
      <xdr:rowOff>95990</xdr:rowOff>
    </xdr:from>
    <xdr:to>
      <xdr:col>7</xdr:col>
      <xdr:colOff>605465</xdr:colOff>
      <xdr:row>15</xdr:row>
      <xdr:rowOff>169826</xdr:rowOff>
    </xdr:to>
    <xdr:graphicFrame macro="">
      <xdr:nvGraphicFramePr>
        <xdr:cNvPr id="32" name="Chart 31">
          <a:extLst>
            <a:ext uri="{FF2B5EF4-FFF2-40B4-BE49-F238E27FC236}">
              <a16:creationId xmlns:a16="http://schemas.microsoft.com/office/drawing/2014/main" id="{E8DB0253-2940-4354-AF4A-F3B691E20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xdr:col>
      <xdr:colOff>472555</xdr:colOff>
      <xdr:row>16</xdr:row>
      <xdr:rowOff>7385</xdr:rowOff>
    </xdr:from>
    <xdr:to>
      <xdr:col>5</xdr:col>
      <xdr:colOff>539011</xdr:colOff>
      <xdr:row>16</xdr:row>
      <xdr:rowOff>155058</xdr:rowOff>
    </xdr:to>
    <xdr:sp macro="" textlink="Sheet1!A2">
      <xdr:nvSpPr>
        <xdr:cNvPr id="40" name="TextBox 39">
          <a:extLst>
            <a:ext uri="{FF2B5EF4-FFF2-40B4-BE49-F238E27FC236}">
              <a16:creationId xmlns:a16="http://schemas.microsoft.com/office/drawing/2014/main" id="{B4EAFE1D-6E2C-4A3A-93F2-C9C3F85DE941}"/>
            </a:ext>
          </a:extLst>
        </xdr:cNvPr>
        <xdr:cNvSpPr txBox="1"/>
      </xdr:nvSpPr>
      <xdr:spPr>
        <a:xfrm>
          <a:off x="2311102" y="3079013"/>
          <a:ext cx="1292153" cy="147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1"/>
            <a:t>No</a:t>
          </a:r>
          <a:r>
            <a:rPr lang="en-US" sz="900" b="1" baseline="0"/>
            <a:t> of patient by Age group</a:t>
          </a:r>
          <a:endParaRPr lang="en-US" sz="900" b="1"/>
        </a:p>
      </xdr:txBody>
    </xdr:sp>
    <xdr:clientData/>
  </xdr:twoCellAnchor>
  <xdr:twoCellAnchor>
    <xdr:from>
      <xdr:col>8</xdr:col>
      <xdr:colOff>191975</xdr:colOff>
      <xdr:row>0</xdr:row>
      <xdr:rowOff>140291</xdr:rowOff>
    </xdr:from>
    <xdr:to>
      <xdr:col>10</xdr:col>
      <xdr:colOff>302733</xdr:colOff>
      <xdr:row>7</xdr:row>
      <xdr:rowOff>51686</xdr:rowOff>
    </xdr:to>
    <xdr:graphicFrame macro="">
      <xdr:nvGraphicFramePr>
        <xdr:cNvPr id="41" name="Chart 40">
          <a:extLst>
            <a:ext uri="{FF2B5EF4-FFF2-40B4-BE49-F238E27FC236}">
              <a16:creationId xmlns:a16="http://schemas.microsoft.com/office/drawing/2014/main" id="{1E045174-F4B1-49CA-A0A1-31E593DFA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502092</xdr:colOff>
      <xdr:row>0</xdr:row>
      <xdr:rowOff>155059</xdr:rowOff>
    </xdr:from>
    <xdr:to>
      <xdr:col>12</xdr:col>
      <xdr:colOff>524243</xdr:colOff>
      <xdr:row>7</xdr:row>
      <xdr:rowOff>12036</xdr:rowOff>
    </xdr:to>
    <xdr:graphicFrame macro="">
      <xdr:nvGraphicFramePr>
        <xdr:cNvPr id="42" name="Chart 41">
          <a:extLst>
            <a:ext uri="{FF2B5EF4-FFF2-40B4-BE49-F238E27FC236}">
              <a16:creationId xmlns:a16="http://schemas.microsoft.com/office/drawing/2014/main" id="{9747771F-7157-41DF-9CD0-F5C5D5A94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243662</xdr:colOff>
      <xdr:row>8</xdr:row>
      <xdr:rowOff>79025</xdr:rowOff>
    </xdr:from>
    <xdr:to>
      <xdr:col>12</xdr:col>
      <xdr:colOff>583314</xdr:colOff>
      <xdr:row>16</xdr:row>
      <xdr:rowOff>27337</xdr:rowOff>
    </xdr:to>
    <xdr:graphicFrame macro="">
      <xdr:nvGraphicFramePr>
        <xdr:cNvPr id="43" name="Chart 42">
          <a:extLst>
            <a:ext uri="{FF2B5EF4-FFF2-40B4-BE49-F238E27FC236}">
              <a16:creationId xmlns:a16="http://schemas.microsoft.com/office/drawing/2014/main" id="{7731BC22-B110-4198-BC80-273D54AEB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51684</xdr:colOff>
      <xdr:row>16</xdr:row>
      <xdr:rowOff>7383</xdr:rowOff>
    </xdr:from>
    <xdr:to>
      <xdr:col>11</xdr:col>
      <xdr:colOff>590698</xdr:colOff>
      <xdr:row>16</xdr:row>
      <xdr:rowOff>169824</xdr:rowOff>
    </xdr:to>
    <xdr:sp macro="" textlink="">
      <xdr:nvSpPr>
        <xdr:cNvPr id="44" name="TextBox 39">
          <a:extLst>
            <a:ext uri="{FF2B5EF4-FFF2-40B4-BE49-F238E27FC236}">
              <a16:creationId xmlns:a16="http://schemas.microsoft.com/office/drawing/2014/main" id="{AFF3AC16-B22D-A9C4-E355-E2EA9FD66160}"/>
            </a:ext>
          </a:extLst>
        </xdr:cNvPr>
        <xdr:cNvSpPr txBox="1"/>
      </xdr:nvSpPr>
      <xdr:spPr>
        <a:xfrm>
          <a:off x="5567324" y="3079011"/>
          <a:ext cx="1764711" cy="162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baseline="0"/>
            <a:t>No.of Patient by Department Referal</a:t>
          </a:r>
          <a:endParaRPr lang="en-US" sz="900" b="1"/>
        </a:p>
      </xdr:txBody>
    </xdr:sp>
    <xdr:clientData/>
  </xdr:twoCellAnchor>
  <xdr:twoCellAnchor editAs="oneCell">
    <xdr:from>
      <xdr:col>5</xdr:col>
      <xdr:colOff>383953</xdr:colOff>
      <xdr:row>0</xdr:row>
      <xdr:rowOff>103372</xdr:rowOff>
    </xdr:from>
    <xdr:to>
      <xdr:col>7</xdr:col>
      <xdr:colOff>575930</xdr:colOff>
      <xdr:row>3</xdr:row>
      <xdr:rowOff>76082</xdr:rowOff>
    </xdr:to>
    <mc:AlternateContent xmlns:mc="http://schemas.openxmlformats.org/markup-compatibility/2006">
      <mc:Choice xmlns:a14="http://schemas.microsoft.com/office/drawing/2010/main" Requires="a14">
        <xdr:graphicFrame macro="">
          <xdr:nvGraphicFramePr>
            <xdr:cNvPr id="45" name="Date (Year) 1">
              <a:extLst>
                <a:ext uri="{FF2B5EF4-FFF2-40B4-BE49-F238E27FC236}">
                  <a16:creationId xmlns:a16="http://schemas.microsoft.com/office/drawing/2014/main" id="{8B3DE6BE-E6F8-4E6E-8D64-E1261119A93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430237" y="103372"/>
              <a:ext cx="1410490" cy="539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0.03315</cdr:x>
      <cdr:y>0.81694</cdr:y>
    </cdr:from>
    <cdr:to>
      <cdr:x>1</cdr:x>
      <cdr:y>0.93459</cdr:y>
    </cdr:to>
    <cdr:sp macro="" textlink="">
      <cdr:nvSpPr>
        <cdr:cNvPr id="2" name="TextBox 39">
          <a:extLst xmlns:a="http://schemas.openxmlformats.org/drawingml/2006/main">
            <a:ext uri="{FF2B5EF4-FFF2-40B4-BE49-F238E27FC236}">
              <a16:creationId xmlns:a16="http://schemas.microsoft.com/office/drawing/2014/main" id="{B4EAFE1D-6E2C-4A3A-93F2-C9C3F85DE941}"/>
            </a:ext>
          </a:extLst>
        </cdr:cNvPr>
        <cdr:cNvSpPr txBox="1"/>
      </cdr:nvSpPr>
      <cdr:spPr>
        <a:xfrm xmlns:a="http://schemas.openxmlformats.org/drawingml/2006/main">
          <a:off x="44302" y="1025451"/>
          <a:ext cx="1292153" cy="14767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1" baseline="0"/>
            <a:t>Patient Attend Status</a:t>
          </a:r>
          <a:endParaRPr lang="en-US" sz="900" b="1"/>
        </a:p>
      </cdr:txBody>
    </cdr:sp>
  </cdr:relSizeAnchor>
</c:userShapes>
</file>

<file path=xl/drawings/drawing4.xml><?xml version="1.0" encoding="utf-8"?>
<c:userShapes xmlns:c="http://schemas.openxmlformats.org/drawingml/2006/chart">
  <cdr:relSizeAnchor xmlns:cdr="http://schemas.openxmlformats.org/drawingml/2006/chartDrawing">
    <cdr:from>
      <cdr:x>0.04734</cdr:x>
      <cdr:y>0.84855</cdr:y>
    </cdr:from>
    <cdr:to>
      <cdr:x>1</cdr:x>
      <cdr:y>0.96464</cdr:y>
    </cdr:to>
    <cdr:sp macro="" textlink="">
      <cdr:nvSpPr>
        <cdr:cNvPr id="2" name="TextBox 39">
          <a:extLst xmlns:a="http://schemas.openxmlformats.org/drawingml/2006/main">
            <a:ext uri="{FF2B5EF4-FFF2-40B4-BE49-F238E27FC236}">
              <a16:creationId xmlns:a16="http://schemas.microsoft.com/office/drawing/2014/main" id="{B4EAFE1D-6E2C-4A3A-93F2-C9C3F85DE941}"/>
            </a:ext>
          </a:extLst>
        </cdr:cNvPr>
        <cdr:cNvSpPr txBox="1"/>
      </cdr:nvSpPr>
      <cdr:spPr>
        <a:xfrm xmlns:a="http://schemas.openxmlformats.org/drawingml/2006/main">
          <a:off x="59071" y="1018953"/>
          <a:ext cx="1188778" cy="1394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1" baseline="0"/>
            <a:t>Patient Gender Analysis</a:t>
          </a:r>
          <a:endParaRPr lang="en-US" sz="900" b="1"/>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314325</xdr:colOff>
      <xdr:row>1</xdr:row>
      <xdr:rowOff>9524</xdr:rowOff>
    </xdr:from>
    <xdr:to>
      <xdr:col>19</xdr:col>
      <xdr:colOff>552450</xdr:colOff>
      <xdr:row>20</xdr:row>
      <xdr:rowOff>38099</xdr:rowOff>
    </xdr:to>
    <xdr:graphicFrame macro="">
      <xdr:nvGraphicFramePr>
        <xdr:cNvPr id="2" name="Chart 1">
          <a:extLst>
            <a:ext uri="{FF2B5EF4-FFF2-40B4-BE49-F238E27FC236}">
              <a16:creationId xmlns:a16="http://schemas.microsoft.com/office/drawing/2014/main" id="{857BA1F6-74AD-464E-A25A-D0FCA9A2E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0.00645</cdr:x>
      <cdr:y>0.02611</cdr:y>
    </cdr:from>
    <cdr:to>
      <cdr:x>0.06527</cdr:x>
      <cdr:y>0.21671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6413244-8486-5255-BCD6-71B32D29E01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6200" y="95250"/>
          <a:ext cx="695325" cy="69532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200026</xdr:colOff>
      <xdr:row>1</xdr:row>
      <xdr:rowOff>76200</xdr:rowOff>
    </xdr:from>
    <xdr:to>
      <xdr:col>18</xdr:col>
      <xdr:colOff>323850</xdr:colOff>
      <xdr:row>19</xdr:row>
      <xdr:rowOff>57150</xdr:rowOff>
    </xdr:to>
    <xdr:graphicFrame macro="">
      <xdr:nvGraphicFramePr>
        <xdr:cNvPr id="4" name="Chart 3">
          <a:extLst>
            <a:ext uri="{FF2B5EF4-FFF2-40B4-BE49-F238E27FC236}">
              <a16:creationId xmlns:a16="http://schemas.microsoft.com/office/drawing/2014/main" id="{2EEC10C1-DBCB-4D11-918B-F373BDF40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0.00484</cdr:x>
      <cdr:y>0.0149</cdr:y>
    </cdr:from>
    <cdr:to>
      <cdr:x>0.07115</cdr:x>
      <cdr:y>0.21881</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A204D25-F456-F912-5B51-F295C7594B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95325" cy="695325"/>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1</xdr:col>
      <xdr:colOff>180975</xdr:colOff>
      <xdr:row>1</xdr:row>
      <xdr:rowOff>104775</xdr:rowOff>
    </xdr:from>
    <xdr:to>
      <xdr:col>18</xdr:col>
      <xdr:colOff>66675</xdr:colOff>
      <xdr:row>18</xdr:row>
      <xdr:rowOff>19050</xdr:rowOff>
    </xdr:to>
    <xdr:graphicFrame macro="">
      <xdr:nvGraphicFramePr>
        <xdr:cNvPr id="2" name="Chart 1">
          <a:extLst>
            <a:ext uri="{FF2B5EF4-FFF2-40B4-BE49-F238E27FC236}">
              <a16:creationId xmlns:a16="http://schemas.microsoft.com/office/drawing/2014/main" id="{8164B91B-EE7E-4898-A7FD-57BC2638A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0.00496</cdr:x>
      <cdr:y>0.01611</cdr:y>
    </cdr:from>
    <cdr:to>
      <cdr:x>0.0728</cdr:x>
      <cdr:y>0.23666</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A204D25-F456-F912-5B51-F295C7594B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95325" cy="69532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4189811" backgroundQuery="1" createdVersion="8" refreshedVersion="8" minRefreshableVersion="3" recordCount="0" supportSubquery="1" supportAdvancedDrill="1" xr:uid="{1CC1DA30-1C6F-4191-BD4E-10B793752C79}">
  <cacheSource type="external" connectionId="3"/>
  <cacheFields count="3">
    <cacheField name="[calendar].[Date (Month)].[Date (Month)]" caption="Date (Month)" numFmtId="0" hierarchy="1" level="1">
      <sharedItems count="1">
        <s v="May"/>
      </sharedItems>
    </cacheField>
    <cacheField name="[calendar].[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Date (Year)].[Date (Year)]" caption="Date (Year)" numFmtId="0" hierarchy="3" level="1">
      <sharedItems count="1">
        <s v="2024"/>
      </sharedItems>
    </cacheField>
  </cacheFields>
  <cacheHierarchies count="32">
    <cacheHierarchy uniqueName="[calendar].[Date]" caption="Date" attribute="1" time="1" defaultMemberUniqueName="[calendar].[Date].[All]" allUniqueName="[calendar].[Date].[All]" dimensionUniqueName="[calendar]" displayFolder="" count="2" memberValueDatatype="7" unbalanced="0">
      <fieldsUsage count="2">
        <fieldUsage x="-1"/>
        <fieldUsage x="1"/>
      </fieldsUsage>
    </cacheHierarchy>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2"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2"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2"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2"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2"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2"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2"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2"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2"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2"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2"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2"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2"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2"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2"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2" memberValueDatatype="130" unbalanced="0"/>
    <cacheHierarchy uniqueName="[calendar].[Date (Day Index)]" caption="Date (Day Index)" attribute="1" defaultMemberUniqueName="[calendar].[Date (Day Index)].[All]" allUniqueName="[calendar].[Date (Day Index)].[All]" dimensionUniqueName="[calendar]" displayFolder="" count="2" memberValueDatatype="5" unbalanced="0" hidden="1"/>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4189811" backgroundQuery="1" createdVersion="8" refreshedVersion="8" minRefreshableVersion="3" recordCount="0" supportSubquery="1" supportAdvancedDrill="1" xr:uid="{EBB2EB9F-F06A-442E-9FF2-21CE19734E71}">
  <cacheSource type="external" connectionId="3"/>
  <cacheFields count="3">
    <cacheField name="[Measures].[Distinct Count of Patient Id]" caption="Distinct Count of Patient Id" numFmtId="0" hierarchy="25"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4652781" backgroundQuery="1" createdVersion="8" refreshedVersion="8" minRefreshableVersion="3" recordCount="0" supportSubquery="1" supportAdvancedDrill="1" xr:uid="{06095D99-B1E9-4242-8CB2-EA97CE68F18C}">
  <cacheSource type="external" connectionId="3"/>
  <cacheFields count="4">
    <cacheField name="[calendar].[Date (Month)].[Date (Month)]" caption="Date (Month)" numFmtId="0" hierarchy="1" level="1">
      <sharedItems containsSemiMixedTypes="0" containsNonDate="0" containsString="0"/>
    </cacheField>
    <cacheField name="[Measures].[Count of Patient Id]" caption="Count of Patient Id" numFmtId="0" hierarchy="24" level="32767"/>
    <cacheField name="[Hospital Emergency Room Data - Copy].[Patient Waittime].[Patient Waittime]" caption="Patient Waittime" numFmtId="0" hierarchy="15" level="1">
      <sharedItems containsSemiMixedTypes="0" containsString="0" containsNumber="1" containsInteger="1" minValue="10" maxValue="60" count="5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Hospital Emergency Room Data - Copy].[Patient Waittime].&amp;[10]"/>
            <x15:cachedUniqueName index="1" name="[Hospital Emergency Room Data - Copy].[Patient Waittime].&amp;[11]"/>
            <x15:cachedUniqueName index="2" name="[Hospital Emergency Room Data - Copy].[Patient Waittime].&amp;[12]"/>
            <x15:cachedUniqueName index="3" name="[Hospital Emergency Room Data - Copy].[Patient Waittime].&amp;[13]"/>
            <x15:cachedUniqueName index="4" name="[Hospital Emergency Room Data - Copy].[Patient Waittime].&amp;[14]"/>
            <x15:cachedUniqueName index="5" name="[Hospital Emergency Room Data - Copy].[Patient Waittime].&amp;[15]"/>
            <x15:cachedUniqueName index="6" name="[Hospital Emergency Room Data - Copy].[Patient Waittime].&amp;[16]"/>
            <x15:cachedUniqueName index="7" name="[Hospital Emergency Room Data - Copy].[Patient Waittime].&amp;[17]"/>
            <x15:cachedUniqueName index="8" name="[Hospital Emergency Room Data - Copy].[Patient Waittime].&amp;[18]"/>
            <x15:cachedUniqueName index="9" name="[Hospital Emergency Room Data - Copy].[Patient Waittime].&amp;[19]"/>
            <x15:cachedUniqueName index="10" name="[Hospital Emergency Room Data - Copy].[Patient Waittime].&amp;[20]"/>
            <x15:cachedUniqueName index="11" name="[Hospital Emergency Room Data - Copy].[Patient Waittime].&amp;[21]"/>
            <x15:cachedUniqueName index="12" name="[Hospital Emergency Room Data - Copy].[Patient Waittime].&amp;[22]"/>
            <x15:cachedUniqueName index="13" name="[Hospital Emergency Room Data - Copy].[Patient Waittime].&amp;[23]"/>
            <x15:cachedUniqueName index="14" name="[Hospital Emergency Room Data - Copy].[Patient Waittime].&amp;[24]"/>
            <x15:cachedUniqueName index="15" name="[Hospital Emergency Room Data - Copy].[Patient Waittime].&amp;[25]"/>
            <x15:cachedUniqueName index="16" name="[Hospital Emergency Room Data - Copy].[Patient Waittime].&amp;[26]"/>
            <x15:cachedUniqueName index="17" name="[Hospital Emergency Room Data - Copy].[Patient Waittime].&amp;[27]"/>
            <x15:cachedUniqueName index="18" name="[Hospital Emergency Room Data - Copy].[Patient Waittime].&amp;[28]"/>
            <x15:cachedUniqueName index="19" name="[Hospital Emergency Room Data - Copy].[Patient Waittime].&amp;[29]"/>
            <x15:cachedUniqueName index="20" name="[Hospital Emergency Room Data - Copy].[Patient Waittime].&amp;[30]"/>
            <x15:cachedUniqueName index="21" name="[Hospital Emergency Room Data - Copy].[Patient Waittime].&amp;[31]"/>
            <x15:cachedUniqueName index="22" name="[Hospital Emergency Room Data - Copy].[Patient Waittime].&amp;[32]"/>
            <x15:cachedUniqueName index="23" name="[Hospital Emergency Room Data - Copy].[Patient Waittime].&amp;[33]"/>
            <x15:cachedUniqueName index="24" name="[Hospital Emergency Room Data - Copy].[Patient Waittime].&amp;[34]"/>
            <x15:cachedUniqueName index="25" name="[Hospital Emergency Room Data - Copy].[Patient Waittime].&amp;[35]"/>
            <x15:cachedUniqueName index="26" name="[Hospital Emergency Room Data - Copy].[Patient Waittime].&amp;[36]"/>
            <x15:cachedUniqueName index="27" name="[Hospital Emergency Room Data - Copy].[Patient Waittime].&amp;[37]"/>
            <x15:cachedUniqueName index="28" name="[Hospital Emergency Room Data - Copy].[Patient Waittime].&amp;[38]"/>
            <x15:cachedUniqueName index="29" name="[Hospital Emergency Room Data - Copy].[Patient Waittime].&amp;[39]"/>
            <x15:cachedUniqueName index="30" name="[Hospital Emergency Room Data - Copy].[Patient Waittime].&amp;[40]"/>
            <x15:cachedUniqueName index="31" name="[Hospital Emergency Room Data - Copy].[Patient Waittime].&amp;[41]"/>
            <x15:cachedUniqueName index="32" name="[Hospital Emergency Room Data - Copy].[Patient Waittime].&amp;[42]"/>
            <x15:cachedUniqueName index="33" name="[Hospital Emergency Room Data - Copy].[Patient Waittime].&amp;[43]"/>
            <x15:cachedUniqueName index="34" name="[Hospital Emergency Room Data - Copy].[Patient Waittime].&amp;[44]"/>
            <x15:cachedUniqueName index="35" name="[Hospital Emergency Room Data - Copy].[Patient Waittime].&amp;[45]"/>
            <x15:cachedUniqueName index="36" name="[Hospital Emergency Room Data - Copy].[Patient Waittime].&amp;[46]"/>
            <x15:cachedUniqueName index="37" name="[Hospital Emergency Room Data - Copy].[Patient Waittime].&amp;[47]"/>
            <x15:cachedUniqueName index="38" name="[Hospital Emergency Room Data - Copy].[Patient Waittime].&amp;[48]"/>
            <x15:cachedUniqueName index="39" name="[Hospital Emergency Room Data - Copy].[Patient Waittime].&amp;[49]"/>
            <x15:cachedUniqueName index="40" name="[Hospital Emergency Room Data - Copy].[Patient Waittime].&amp;[50]"/>
            <x15:cachedUniqueName index="41" name="[Hospital Emergency Room Data - Copy].[Patient Waittime].&amp;[51]"/>
            <x15:cachedUniqueName index="42" name="[Hospital Emergency Room Data - Copy].[Patient Waittime].&amp;[52]"/>
            <x15:cachedUniqueName index="43" name="[Hospital Emergency Room Data - Copy].[Patient Waittime].&amp;[53]"/>
            <x15:cachedUniqueName index="44" name="[Hospital Emergency Room Data - Copy].[Patient Waittime].&amp;[54]"/>
            <x15:cachedUniqueName index="45" name="[Hospital Emergency Room Data - Copy].[Patient Waittime].&amp;[55]"/>
            <x15:cachedUniqueName index="46" name="[Hospital Emergency Room Data - Copy].[Patient Waittime].&amp;[56]"/>
            <x15:cachedUniqueName index="47" name="[Hospital Emergency Room Data - Copy].[Patient Waittime].&amp;[57]"/>
            <x15:cachedUniqueName index="48" name="[Hospital Emergency Room Data - Copy].[Patient Waittime].&amp;[58]"/>
            <x15:cachedUniqueName index="49" name="[Hospital Emergency Room Data - Copy].[Patient Waittime].&amp;[59]"/>
            <x15:cachedUniqueName index="50" name="[Hospital Emergency Room Data - Copy].[Patient Waittime].&amp;[60]"/>
          </x15:cachedUniqueNames>
        </ext>
      </extLst>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2" memberValueDatatype="20" unbalanced="0">
      <fieldsUsage count="2">
        <fieldUsage x="-1"/>
        <fieldUsage x="2"/>
      </fieldsUsage>
    </cacheHierarchy>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4999997" backgroundQuery="1" createdVersion="8" refreshedVersion="8" minRefreshableVersion="3" recordCount="0" supportSubquery="1" supportAdvancedDrill="1" xr:uid="{E1E0B26E-B9C9-4FCE-BD38-A569DA41EC7F}">
  <cacheSource type="external" connectionId="3"/>
  <cacheFields count="4">
    <cacheField name="[calendar].[Date (Month)].[Date (Month)]" caption="Date (Month)" numFmtId="0" hierarchy="1" level="1">
      <sharedItems containsSemiMixedTypes="0" containsNonDate="0" containsString="0"/>
    </cacheField>
    <cacheField name="[Measures].[Count of Patient Id]" caption="Count of Patient Id" numFmtId="0" hierarchy="24" level="32767"/>
    <cacheField name="[Hospital Emergency Room Data - Copy].[Patient Gender].[Patient Gender]" caption="Patient Gender" numFmtId="0" hierarchy="9" level="1">
      <sharedItems count="2">
        <s v="Female"/>
        <s v="Male"/>
      </sharedItems>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2" memberValueDatatype="130" unbalanced="0">
      <fieldsUsage count="2">
        <fieldUsage x="-1"/>
        <fieldUsage x="2"/>
      </fieldsUsage>
    </cacheHierarchy>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534722" backgroundQuery="1" createdVersion="8" refreshedVersion="8" minRefreshableVersion="3" recordCount="0" supportSubquery="1" supportAdvancedDrill="1" xr:uid="{CE4B9975-7B35-4690-83DC-61AA7E31D692}">
  <cacheSource type="external" connectionId="3"/>
  <cacheFields count="4">
    <cacheField name="[calendar].[Date (Month)].[Date (Month)]" caption="Date (Month)" numFmtId="0" hierarchy="1" level="1">
      <sharedItems containsSemiMixedTypes="0" containsNonDate="0" containsString="0"/>
    </cacheField>
    <cacheField name="[Measures].[Count of Patient Id]" caption="Count of Patient Id" numFmtId="0" hierarchy="24" level="32767"/>
    <cacheField name="[Hospital Emergency Room Data - Copy].[Department Referral].[Department Referral]" caption="Department Referral" numFmtId="0" hierarchy="12" level="1">
      <sharedItems count="8">
        <s v="Cardiology"/>
        <s v="Gastroenterology"/>
        <s v="General Practice"/>
        <s v="Neurology"/>
        <s v="None"/>
        <s v="Orthopedics"/>
        <s v="Physiotherapy"/>
        <s v="Renal"/>
      </sharedItems>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2" memberValueDatatype="130" unbalanced="0">
      <fieldsUsage count="2">
        <fieldUsage x="-1"/>
        <fieldUsage x="2"/>
      </fieldsUsage>
    </cacheHierarchy>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5462966" backgroundQuery="1" createdVersion="8" refreshedVersion="8" minRefreshableVersion="3" recordCount="0" supportSubquery="1" supportAdvancedDrill="1" xr:uid="{FC8ACC84-94ED-4EDF-89B0-8B837B5B1296}">
  <cacheSource type="external" connectionId="3"/>
  <cacheFields count="3">
    <cacheField name="[Measures].[Average of Patient Waittime]" caption="Average of Patient Waittime" numFmtId="0" hierarchy="27"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5578704" backgroundQuery="1" createdVersion="8" refreshedVersion="8" minRefreshableVersion="3" recordCount="0" supportSubquery="1" supportAdvancedDrill="1" xr:uid="{D52638DC-1E8F-4216-BB92-CD48A8D44D69}">
  <cacheSource type="external" connectionId="3"/>
  <cacheFields count="3">
    <cacheField name="[Measures].[Average of Patient Satisfaction Score]" caption="Average of Patient Satisfaction Score" numFmtId="0" hierarchy="29"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5925928" backgroundQuery="1" createdVersion="8" refreshedVersion="8" minRefreshableVersion="3" recordCount="0" supportSubquery="1" supportAdvancedDrill="1" xr:uid="{CF5C3B0C-0BB2-4300-A1B1-E78F26F0234B}">
  <cacheSource type="external" connectionId="3"/>
  <cacheFields count="4">
    <cacheField name="[Measures].[Distinct Count of Patient Id]" caption="Distinct Count of Patient Id" numFmtId="0" hierarchy="25" level="32767"/>
    <cacheField name="[calenda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6273151" backgroundQuery="1" createdVersion="8" refreshedVersion="8" minRefreshableVersion="3" recordCount="0" supportSubquery="1" supportAdvancedDrill="1" xr:uid="{544A8DC0-8377-4336-A349-A3D975CB688D}">
  <cacheSource type="external" connectionId="3"/>
  <cacheFields count="4">
    <cacheField name="[calendar].[Date (Month)].[Date (Month)]" caption="Date (Month)" numFmtId="0" hierarchy="1" level="1">
      <sharedItems containsSemiMixedTypes="0" containsNonDate="0" containsString="0"/>
    </cacheField>
    <cacheField name="[calenda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Measures].[Average of Patient Waittime]" caption="Average of Patient Waittime" numFmtId="0" hierarchy="27" level="32767"/>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6620367" backgroundQuery="1" createdVersion="8" refreshedVersion="8" minRefreshableVersion="3" recordCount="0" supportSubquery="1" supportAdvancedDrill="1" xr:uid="{E85ADEA6-FBDF-41F3-9778-C05AA98ACA48}">
  <cacheSource type="external" connectionId="3"/>
  <cacheFields count="4">
    <cacheField name="[calendar].[Date (Month)].[Date (Month)]" caption="Date (Month)" numFmtId="0" hierarchy="1" level="1">
      <sharedItems containsSemiMixedTypes="0" containsNonDate="0" containsString="0"/>
    </cacheField>
    <cacheField name="[calendar].[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1-Jun" u="1"/>
      </sharedItems>
    </cacheField>
    <cacheField name="[Measures].[Average of Patient Satisfaction Score]" caption="Average of Patient Satisfaction Score" numFmtId="0" hierarchy="29" level="32767"/>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7083336" backgroundQuery="1" createdVersion="8" refreshedVersion="8" minRefreshableVersion="3" recordCount="0" supportSubquery="1" supportAdvancedDrill="1" xr:uid="{420EF942-4BF4-4E9B-A452-77F57878AB40}">
  <cacheSource type="external" connectionId="3"/>
  <cacheFields count="5">
    <cacheField name="[calendar].[Date (Month)].[Date (Month)]" caption="Date (Month)" numFmtId="0" hierarchy="1" level="1">
      <sharedItems containsSemiMixedTypes="0" containsNonDate="0" containsString="0"/>
    </cacheField>
    <cacheField name="[Hospital Emergency Room Data - Copy].[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Date (Year)].[Date (Year)]" caption="Date (Year)" numFmtId="0" hierarchy="3" level="1">
      <sharedItems containsSemiMixedTypes="0" containsNonDate="0" containsString="0"/>
    </cacheField>
    <cacheField name="Unsupported0" numFmtId="0" hierarchy="32" level="32767">
      <extLst>
        <ext xmlns:x14="http://schemas.microsoft.com/office/spreadsheetml/2009/9/main" uri="{63CAB8AC-B538-458d-9737-405883B0398D}">
          <x14:cacheField ignore="1"/>
        </ext>
      </extLst>
    </cacheField>
  </cacheFields>
  <cacheHierarchies count="33">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2" memberValueDatatype="130" unbalanced="0">
      <fieldsUsage count="2">
        <fieldUsage x="-1"/>
        <fieldUsage x="1"/>
      </fieldsUsage>
    </cacheHierarchy>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7430552" backgroundQuery="1" createdVersion="8" refreshedVersion="8" minRefreshableVersion="3" recordCount="0" supportSubquery="1" supportAdvancedDrill="1" xr:uid="{12772A63-50E5-433D-9281-A5674A699831}">
  <cacheSource type="external" connectionId="3"/>
  <cacheFields count="4">
    <cacheField name="[calendar].[Date (Month)].[Date (Month)]" caption="Date (Month)" numFmtId="0" hierarchy="1" level="1">
      <sharedItems containsSemiMixedTypes="0" containsNonDate="0" containsString="0"/>
    </cacheField>
    <cacheField name="[Hospital Emergency Room Data - Copy].[Patient Age Group].[Patient Age Group]" caption="Patient Age Group" numFmtId="0" hierarchy="17" level="1">
      <sharedItems count="8">
        <s v="0-09"/>
        <s v="10-19"/>
        <s v="20-29"/>
        <s v="30-39"/>
        <s v="40-49"/>
        <s v="50-59"/>
        <s v="60-69"/>
        <s v="70-79"/>
      </sharedItems>
    </cacheField>
    <cacheField name="[Measures].[Count of Patient Age Group]" caption="Count of Patient Age Group" numFmtId="0" hierarchy="31" level="32767"/>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2" memberValueDatatype="130" unbalanced="0">
      <fieldsUsage count="2">
        <fieldUsage x="-1"/>
        <fieldUsage x="1"/>
      </fieldsUsage>
    </cacheHierarchy>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7.687277777775" backgroundQuery="1" createdVersion="8" refreshedVersion="8" minRefreshableVersion="3" recordCount="0" supportSubquery="1" supportAdvancedDrill="1" xr:uid="{2D49363C-43BB-48DC-A432-38D97D9CE8DD}">
  <cacheSource type="external" connectionId="3"/>
  <cacheFields count="4">
    <cacheField name="[calendar].[Date (Month)].[Date (Month)]" caption="Date (Month)" numFmtId="0" hierarchy="1" level="1">
      <sharedItems containsSemiMixedTypes="0" containsNonDate="0" containsString="0"/>
    </cacheField>
    <cacheField name="[Hospital Emergency Room Data - Copy].[patient admit status].[patient admit status]" caption="patient admit status" numFmtId="0" hierarchy="16" level="1">
      <sharedItems count="2">
        <s v="Delay"/>
        <s v="Ontime"/>
      </sharedItems>
    </cacheField>
    <cacheField name="[Measures].[Count of Patient Id]" caption="Count of Patient Id" numFmtId="0" hierarchy="24" level="32767"/>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2" memberValueDatatype="130" unbalanced="0">
      <fieldsUsage count="2">
        <fieldUsage x="-1"/>
        <fieldUsage x="1"/>
      </fieldsUsage>
    </cacheHierarchy>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 Copy" uniqueName="[Hospital Emergency Room Data - Copy]" caption="Hospital Emergency Room Data - Copy"/>
    <dimension measure="1" name="Measures" uniqueName="[Measures]" caption="Measures"/>
  </dimensions>
  <measureGroups count="2">
    <measureGroup name="calendar" caption="calendar"/>
    <measureGroup name="Hospital Emergency Room Data - Copy" caption="Hospital Emergency Room Data - Cop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5.528148958336" backgroundQuery="1" createdVersion="3" refreshedVersion="8" minRefreshableVersion="3" recordCount="0" supportSubquery="1" supportAdvancedDrill="1" xr:uid="{EFA46F5B-60AC-41DF-AE42-775511900513}">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641059892"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5.529941782406" backgroundQuery="1" createdVersion="3" refreshedVersion="8" minRefreshableVersion="3" recordCount="0" supportSubquery="1" supportAdvancedDrill="1" xr:uid="{DAB24B22-D11C-4509-9D2E-7EE24E00DAC6}">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 - Copy].[Patient Id]" caption="Patient Id" attribute="1" defaultMemberUniqueName="[Hospital Emergency Room Data - Copy].[Patient Id].[All]" allUniqueName="[Hospital Emergency Room Data - Copy].[Patient Id].[All]" dimensionUniqueName="[Hospital Emergency Room Data - Copy]" displayFolder="" count="0" memberValueDatatype="130" unbalanced="0"/>
    <cacheHierarchy uniqueName="[Hospital Emergency Room Data - Copy].[Patient Admission Date]" caption="Patient Admission Date" attribute="1" time="1" defaultMemberUniqueName="[Hospital Emergency Room Data - Copy].[Patient Admission Date].[All]" allUniqueName="[Hospital Emergency Room Data - Copy].[Patient Admission Date].[All]" dimensionUniqueName="[Hospital Emergency Room Data - Copy]" displayFolder="" count="0" memberValueDatatype="7" unbalanced="0"/>
    <cacheHierarchy uniqueName="[Hospital Emergency Room Data - Copy].[Patient Admission Time]" caption="Patient Admission Time" attribute="1" time="1" defaultMemberUniqueName="[Hospital Emergency Room Data - Copy].[Patient Admission Time].[All]" allUniqueName="[Hospital Emergency Room Data - Copy].[Patient Admission Time].[All]" dimensionUniqueName="[Hospital Emergency Room Data - Copy]" displayFolder="" count="0" memberValueDatatype="7" unbalanced="0"/>
    <cacheHierarchy uniqueName="[Hospital Emergency Room Data - Copy].[Patient Full Name]" caption="Patient Full Name" attribute="1" defaultMemberUniqueName="[Hospital Emergency Room Data - Copy].[Patient Full Name].[All]" allUniqueName="[Hospital Emergency Room Data - Copy].[Patient Full Name].[All]" dimensionUniqueName="[Hospital Emergency Room Data - Copy]" displayFolder="" count="0" memberValueDatatype="130" unbalanced="0"/>
    <cacheHierarchy uniqueName="[Hospital Emergency Room Data - Copy].[Patient Gender]" caption="Patient Gender" attribute="1" defaultMemberUniqueName="[Hospital Emergency Room Data - Copy].[Patient Gender].[All]" allUniqueName="[Hospital Emergency Room Data - Copy].[Patient Gender].[All]" dimensionUniqueName="[Hospital Emergency Room Data - Copy]" displayFolder="" count="0" memberValueDatatype="130" unbalanced="0"/>
    <cacheHierarchy uniqueName="[Hospital Emergency Room Data - Copy].[Patient Age]" caption="Patient Age" attribute="1" defaultMemberUniqueName="[Hospital Emergency Room Data - Copy].[Patient Age].[All]" allUniqueName="[Hospital Emergency Room Data - Copy].[Patient Age].[All]" dimensionUniqueName="[Hospital Emergency Room Data - Copy]" displayFolder="" count="0" memberValueDatatype="20" unbalanced="0"/>
    <cacheHierarchy uniqueName="[Hospital Emergency Room Data - Copy].[Patient Race]" caption="Patient Race" attribute="1" defaultMemberUniqueName="[Hospital Emergency Room Data - Copy].[Patient Race].[All]" allUniqueName="[Hospital Emergency Room Data - Copy].[Patient Race].[All]" dimensionUniqueName="[Hospital Emergency Room Data - Copy]" displayFolder="" count="0" memberValueDatatype="130" unbalanced="0"/>
    <cacheHierarchy uniqueName="[Hospital Emergency Room Data - Copy].[Department Referral]" caption="Department Referral" attribute="1" defaultMemberUniqueName="[Hospital Emergency Room Data - Copy].[Department Referral].[All]" allUniqueName="[Hospital Emergency Room Data - Copy].[Department Referral].[All]" dimensionUniqueName="[Hospital Emergency Room Data - Copy]" displayFolder="" count="0" memberValueDatatype="130" unbalanced="0"/>
    <cacheHierarchy uniqueName="[Hospital Emergency Room Data - Copy].[Patient Admission Flag]" caption="Patient Admission Flag" attribute="1" defaultMemberUniqueName="[Hospital Emergency Room Data - Copy].[Patient Admission Flag].[All]" allUniqueName="[Hospital Emergency Room Data - Copy].[Patient Admission Flag].[All]" dimensionUniqueName="[Hospital Emergency Room Data - Copy]" displayFolder="" count="0" memberValueDatatype="130" unbalanced="0"/>
    <cacheHierarchy uniqueName="[Hospital Emergency Room Data - Copy].[Patient Satisfaction Score]" caption="Patient Satisfaction Score" attribute="1" defaultMemberUniqueName="[Hospital Emergency Room Data - Copy].[Patient Satisfaction Score].[All]" allUniqueName="[Hospital Emergency Room Data - Copy].[Patient Satisfaction Score].[All]" dimensionUniqueName="[Hospital Emergency Room Data - Copy]" displayFolder="" count="0" memberValueDatatype="20" unbalanced="0"/>
    <cacheHierarchy uniqueName="[Hospital Emergency Room Data - Copy].[Patient Waittime]" caption="Patient Waittime" attribute="1" defaultMemberUniqueName="[Hospital Emergency Room Data - Copy].[Patient Waittime].[All]" allUniqueName="[Hospital Emergency Room Data - Copy].[Patient Waittime].[All]" dimensionUniqueName="[Hospital Emergency Room Data - Copy]" displayFolder="" count="0" memberValueDatatype="20" unbalanced="0"/>
    <cacheHierarchy uniqueName="[Hospital Emergency Room Data - Copy].[patient admit status]" caption="patient admit status" attribute="1" defaultMemberUniqueName="[Hospital Emergency Room Data - Copy].[patient admit status].[All]" allUniqueName="[Hospital Emergency Room Data - Copy].[patient admit status].[All]" dimensionUniqueName="[Hospital Emergency Room Data - Copy]" displayFolder="" count="0" memberValueDatatype="130" unbalanced="0"/>
    <cacheHierarchy uniqueName="[Hospital Emergency Room Data - Copy].[Patient Age Group]" caption="Patient Age Group" attribute="1" defaultMemberUniqueName="[Hospital Emergency Room Data - Copy].[Patient Age Group].[All]" allUniqueName="[Hospital Emergency Room Data - Copy].[Patient Age Group].[All]" dimensionUniqueName="[Hospital Emergency Room Data - Copy]" displayFolder="" count="0" memberValueDatatype="130" unbalanced="0"/>
    <cacheHierarchy uniqueName="[Hospital Emergency Room Data - Copy].[Patient Admit Time]" caption="Patient Admit Time" attribute="1" defaultMemberUniqueName="[Hospital Emergency Room Data - Copy].[Patient Admit Time].[All]" allUniqueName="[Hospital Emergency Room Data - Copy].[Patient Admit Time].[All]" dimensionUniqueName="[Hospital Emergency Room Data - Copy]"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 Copy]" caption="__XL_Count Hospital Emergency Room Data - Copy" measure="1" displayFolder="" measureGroup="Hospital Emergency Room Data - Cop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 Cop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Cop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Copy"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Copy"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 Copy"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7574240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0F966C-C39A-4E23-BBA2-7853125FB9BF}" name="PivotTable13" cacheId="1426" applyNumberFormats="0" applyBorderFormats="0" applyFontFormats="0" applyPatternFormats="0" applyAlignmentFormats="0" applyWidthHeightFormats="1" dataCaption="Values" tag="b75a6598-1a3f-4f01-b89a-12aad4329d7b" updatedVersion="8" minRefreshableVersion="3" subtotalHiddenItems="1" rowGrandTotals="0" colGrandTotals="0" itemPrintTitles="1" createdVersion="8" indent="0" outline="1" outlineData="1" multipleFieldFilters="0" chartFormat="42">
  <location ref="A111:A112" firstHeaderRow="1" firstDataRow="1" firstDataCol="1"/>
  <pivotFields count="3">
    <pivotField allDrilled="1" subtotalTop="0" showAll="0" dataSourceSort="1" defaultSubtotal="0" defaultAttributeDrillState="1">
      <items count="1">
        <item s="1" x="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efaultSubtotal="0">
      <items count="1">
        <item s="1" x="0" e="0"/>
      </items>
    </pivotField>
  </pivotFields>
  <rowFields count="2">
    <field x="2"/>
    <field x="1"/>
  </rowFields>
  <rowItems count="1">
    <i>
      <x/>
    </i>
  </rowItems>
  <formats count="2">
    <format dxfId="160">
      <pivotArea dataOnly="0" labelOnly="1" outline="0" axis="axisValues" fieldPosition="0"/>
    </format>
    <format dxfId="161">
      <pivotArea outline="0" collapsedLevelsAreSubtotals="1" fieldPosition="0"/>
    </format>
  </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6CB53F-B1FA-4728-A459-3EC29F94ED7C}" name="PivotTable12" cacheId="1438" applyNumberFormats="0" applyBorderFormats="0" applyFontFormats="0" applyPatternFormats="0" applyAlignmentFormats="0" applyWidthHeightFormats="1" dataCaption="Values" tag="df4398bc-cf80-4a4d-8e59-c172c6cf5b9b" updatedVersion="8" minRefreshableVersion="3" subtotalHiddenItems="1" itemPrintTitles="1" createdVersion="8" indent="0" outline="1" outlineData="1" multipleFieldFilters="0" chartFormat="42">
  <location ref="A87:B9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1"/>
    </i>
    <i>
      <x/>
    </i>
    <i>
      <x v="6"/>
    </i>
    <i>
      <x v="3"/>
    </i>
    <i>
      <x v="5"/>
    </i>
    <i>
      <x v="2"/>
    </i>
    <i>
      <x v="4"/>
    </i>
    <i t="grand">
      <x/>
    </i>
  </rowItems>
  <colItems count="1">
    <i/>
  </colItems>
  <dataFields count="1">
    <dataField name="Count of Patient Id" fld="1" subtotal="count" baseField="0" baseItem="0"/>
  </dataFields>
  <formats count="2">
    <format dxfId="260">
      <pivotArea dataOnly="0" labelOnly="1" outline="0" axis="axisValues" fieldPosition="0"/>
    </format>
    <format dxfId="261">
      <pivotArea outline="0" collapsedLevelsAreSubtotals="1" fieldPosition="0"/>
    </format>
  </formats>
  <chartFormats count="10">
    <chartFormat chart="16" format="1"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D70EF-AE18-494B-A9FE-B738D3906E8F}" name="PivotTable11" cacheId="1435" applyNumberFormats="0" applyBorderFormats="0" applyFontFormats="0" applyPatternFormats="0" applyAlignmentFormats="0" applyWidthHeightFormats="1" dataCaption="Values" tag="987e0cab-abcd-4c23-a100-4300d8db20d0" updatedVersion="8" minRefreshableVersion="3" subtotalHiddenItems="1" itemPrintTitles="1" createdVersion="8" indent="0" outline="1" outlineData="1" multipleFieldFilters="0" chartFormat="37">
  <location ref="A72:B7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262">
      <pivotArea dataOnly="0" labelOnly="1" outline="0" axis="axisValues" fieldPosition="0"/>
    </format>
    <format dxfId="263">
      <pivotArea outline="0" collapsedLevelsAreSubtotals="1" fieldPosition="0"/>
    </format>
  </formats>
  <chartFormats count="10">
    <chartFormat chart="16" format="1"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2" count="1" selected="0">
            <x v="0"/>
          </reference>
        </references>
      </pivotArea>
    </chartFormat>
    <chartFormat chart="34"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280D85-6E98-4208-B629-A270C225F2CA}" name="PivotTable10" cacheId="1432" applyNumberFormats="0" applyBorderFormats="0" applyFontFormats="0" applyPatternFormats="0" applyAlignmentFormats="0" applyWidthHeightFormats="1" dataCaption="Values" tag="ed576b14-065f-46f3-8463-98f3a149ba8b" updatedVersion="8" minRefreshableVersion="3" subtotalHiddenItems="1" itemPrintTitles="1" createdVersion="8" indent="0" outline="1" outlineData="1" multipleFieldFilters="0" chartFormat="15">
  <location ref="E66:F11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llDrilled="1" subtotalTop="0" showAll="0" dataSourceSort="1" defaultSubtotal="0" defaultAttributeDrillState="1"/>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Count of Patient Id" fld="1" subtotal="count" baseField="0" baseItem="0"/>
  </dataFields>
  <formats count="2">
    <format dxfId="266">
      <pivotArea dataOnly="0" labelOnly="1" outline="0" axis="axisValues" fieldPosition="0"/>
    </format>
    <format dxfId="267">
      <pivotArea outline="0" collapsedLevelsAreSubtotals="1" fieldPosition="0"/>
    </format>
  </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25B6D7-2916-4917-9F59-403FB69708F6}" name="PivotTable9" cacheId="1462" applyNumberFormats="0" applyBorderFormats="0" applyFontFormats="0" applyPatternFormats="0" applyAlignmentFormats="0" applyWidthHeightFormats="1" dataCaption="Values" tag="f4c4998d-10b0-423b-aa4f-a8a1f5a1cd90" updatedVersion="8" minRefreshableVersion="3" subtotalHiddenItems="1" itemPrintTitles="1" createdVersion="8" indent="0" outline="1" outlineData="1" multipleFieldFilters="0" chartFormat="32">
  <location ref="E58:F61"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2">
    <format dxfId="264">
      <pivotArea dataOnly="0" labelOnly="1" outline="0" axis="axisValues" fieldPosition="0"/>
    </format>
    <format dxfId="265">
      <pivotArea outline="0" collapsedLevelsAreSubtotals="1" fieldPosition="0"/>
    </format>
  </formats>
  <chartFormats count="9">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 count="1" selected="0">
            <x v="0"/>
          </reference>
        </references>
      </pivotArea>
    </chartFormat>
    <chartFormat chart="16" format="3">
      <pivotArea type="data" outline="0" fieldPosition="0">
        <references count="2">
          <reference field="4294967294" count="1" selected="0">
            <x v="0"/>
          </reference>
          <reference field="1" count="1" selected="0">
            <x v="1"/>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1" count="1" selected="0">
            <x v="0"/>
          </reference>
        </references>
      </pivotArea>
    </chartFormat>
    <chartFormat chart="25" format="9">
      <pivotArea type="data" outline="0" fieldPosition="0">
        <references count="2">
          <reference field="4294967294" count="1" selected="0">
            <x v="0"/>
          </reference>
          <reference field="1"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BB7CA6-41BA-4FBD-9479-1D42DF07F104}" name="PivotTable8" cacheId="1459" applyNumberFormats="0" applyBorderFormats="0" applyFontFormats="0" applyPatternFormats="0" applyAlignmentFormats="0" applyWidthHeightFormats="1" dataCaption="Values" tag="a1081e50-5bad-4cd4-9205-dbf03f0c3a1a" updatedVersion="8" minRefreshableVersion="3" subtotalHiddenItems="1" itemPrintTitles="1" createdVersion="8" indent="0" outline="1" outlineData="1" multipleFieldFilters="0" chartFormat="16">
  <location ref="A58: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Group" fld="2" subtotal="count" baseField="0" baseItem="0"/>
  </dataFields>
  <formats count="2">
    <format dxfId="268">
      <pivotArea dataOnly="0" labelOnly="1" outline="0" axis="axisValues" fieldPosition="0"/>
    </format>
    <format dxfId="269">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696FF3-2B81-45E4-96A1-A00B12ACD434}" name="PivotTable7" cacheId="1456" applyNumberFormats="0" applyBorderFormats="0" applyFontFormats="0" applyPatternFormats="0" applyAlignmentFormats="0" applyWidthHeightFormats="1" dataCaption="Values" tag="bd93284d-9dec-4a04-aed1-6a8ed0f4d954" updatedVersion="8" minRefreshableVersion="3" subtotalHiddenItems="1" itemPrintTitles="1" createdVersion="8" indent="0" outline="1" outlineData="1" multipleFieldFilters="0" chartFormat="8">
  <location ref="A43:C4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272">
      <pivotArea dataOnly="0" labelOnly="1" outline="0" axis="axisValues" fieldPosition="0"/>
    </format>
    <format dxfId="271">
      <pivotArea outline="0" collapsedLevelsAreSubtotals="1" fieldPosition="0"/>
    </format>
    <format dxfId="270">
      <pivotArea outline="0" fieldPosition="0">
        <references count="1">
          <reference field="4294967294" count="1">
            <x v="1"/>
          </reference>
        </references>
      </pivotArea>
    </format>
  </formats>
  <chartFormats count="6">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31C26E-A203-4BF7-B421-60700F9E438B}" name="PivotTable6" cacheId="1453" applyNumberFormats="0" applyBorderFormats="0" applyFontFormats="0" applyPatternFormats="0" applyAlignmentFormats="0" applyWidthHeightFormats="1" dataCaption="Values" tag="99a7dfba-89b5-4787-b082-dd84a6bbf495" updatedVersion="8" minRefreshableVersion="3" subtotalHiddenItems="1" itemPrintTitles="1" createdVersion="8" indent="0" outline="1" outlineData="1" multipleFieldFilters="0" chartFormat="10">
  <location ref="N5:O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170"/>
  </dataFields>
  <formats count="2">
    <format dxfId="275">
      <pivotArea collapsedLevelsAreSubtotals="1" fieldPosition="0">
        <references count="1">
          <reference field="1" count="1">
            <x v="31"/>
          </reference>
        </references>
      </pivotArea>
    </format>
    <format dxfId="274">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1D6ED6-934A-4D96-AACE-43574A5FBF3E}" name="PivotTable5" cacheId="1450" applyNumberFormats="0" applyBorderFormats="0" applyFontFormats="0" applyPatternFormats="0" applyAlignmentFormats="0" applyWidthHeightFormats="1" dataCaption="Values" tag="75a14e9f-049d-4cf5-b37d-bc0726609045" updatedVersion="8" minRefreshableVersion="3" subtotalHiddenItems="1" itemPrintTitles="1" createdVersion="8" indent="0" outline="1" outlineData="1" multipleFieldFilters="0" chartFormat="13">
  <location ref="J5:K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170"/>
  </dataFields>
  <formats count="1">
    <format dxfId="273">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61434D-7ADE-4E4E-AE8B-2F4DD66C2F8C}" name="PivotTable1" cacheId="1429" applyNumberFormats="0" applyBorderFormats="0" applyFontFormats="0" applyPatternFormats="0" applyAlignmentFormats="0" applyWidthHeightFormats="1" dataCaption="Values" tag="621eb52e-ad43-4cc9-ad21-ce379f184f62" updatedVersion="8" minRefreshableVersion="3" subtotalHiddenItems="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834E11-E79A-412E-8F66-0FC9AE044E4E}" name="PivotTable4" cacheId="1447" applyNumberFormats="0" applyBorderFormats="0" applyFontFormats="0" applyPatternFormats="0" applyAlignmentFormats="0" applyWidthHeightFormats="1" dataCaption="Values" tag="872ab3c4-aea9-415d-b2ce-f7f6284cd3e3" updatedVersion="8" minRefreshableVersion="3" subtotalHiddenItems="1" itemPrintTitles="1" createdVersion="8" indent="0" outline="1" outlineData="1" multipleFieldFilters="0" chartFormat="9">
  <location ref="E2:F3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F2AE8F-4A6A-4907-BE07-BB1FE94EAA3A}" name="PivotTable3" cacheId="1444" applyNumberFormats="0" applyBorderFormats="0" applyFontFormats="0" applyPatternFormats="0" applyAlignmentFormats="0" applyWidthHeightFormats="1" dataCaption="Values" tag="e21611bd-c35d-4dda-951c-bf853b1c79f3" updatedVersion="8" minRefreshableVersion="3" subtotalHiddenItems="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of Patient Satisfaction Score" fld="0" subtotal="average" baseField="0" baseItem="0"/>
  </dataField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0E40E2-E10D-45C9-AE83-48E6224F7CA4}" name="PivotTable2" cacheId="1441" applyNumberFormats="0" applyBorderFormats="0" applyFontFormats="0" applyPatternFormats="0" applyAlignmentFormats="0" applyWidthHeightFormats="1" dataCaption="Values" tag="b6c921f5-d5e8-4901-a3da-507e3b890d56" updatedVersion="8" minRefreshableVersion="3" subtotalHiddenItems="1" itemPrintTitles="1" createdVersion="8"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dataField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Copy]"/>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AE35F07-4670-4D90-A197-819B2149AEDC}" sourceName="[calendar].[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641059892">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i n="[calendar].[Date (Month)].&amp;[Dec]" c="Dec"/>
            </range>
          </ranges>
        </level>
      </levels>
      <selections count="1">
        <selection n="[calendar].[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21BFB93-EE5D-454C-BC8E-C0BBA0E6FD9B}" sourceName="[calendar].[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57424034">
      <levels count="2">
        <level uniqueName="[calendar].[Date (Year)].[(All)]" sourceCaption="(All)" count="0"/>
        <level uniqueName="[calendar].[Date (Year)].[Date (Year)]" sourceCaption="Date (Year)" count="2">
          <ranges>
            <range startItem="0">
              <i n="[calendar].[Date (Year)].&amp;[2023]" c="2023"/>
              <i n="[calendar].[Date (Year)].&amp;[2024]" c="2024"/>
            </range>
          </ranges>
        </level>
      </levels>
      <selections count="1">
        <selection n="[calenda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8776AAAB-7CDD-40E0-A7EA-37474F9CF60E}" cache="Slicer_Date__Year" caption="Date (Year)"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4F31935-585B-42CB-9A92-9732EC6FBFAE}" cache="Slicer_Date__Month" caption="Date (Month)" showCaption="0" level="1" rowHeight="146304"/>
  <slicer name="Date (Year) 1" xr10:uid="{93023DFB-28EB-4859-8FC2-066DD5148FAE}" cache="Slicer_Date__Year" caption="Date (Year)" showCaption="0" level="1"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CD05-067C-484F-999F-1A29F1F1A6BB}">
  <dimension ref="A1:O118"/>
  <sheetViews>
    <sheetView topLeftCell="A104" workbookViewId="0">
      <selection activeCell="A112" sqref="A112"/>
    </sheetView>
  </sheetViews>
  <sheetFormatPr defaultRowHeight="15" x14ac:dyDescent="0.25"/>
  <cols>
    <col min="1" max="1" width="17.85546875" customWidth="1"/>
    <col min="2" max="2" width="15.5703125" customWidth="1"/>
    <col min="3" max="3" width="13.85546875" customWidth="1"/>
    <col min="4" max="4" width="22.140625" customWidth="1"/>
    <col min="5" max="5" width="29.140625" customWidth="1"/>
    <col min="10" max="10" width="23.7109375" customWidth="1"/>
    <col min="11" max="11" width="24.85546875" customWidth="1"/>
    <col min="15" max="15" width="34.28515625" customWidth="1"/>
  </cols>
  <sheetData>
    <row r="1" spans="1:15" x14ac:dyDescent="0.25">
      <c r="A1" t="s">
        <v>2</v>
      </c>
    </row>
    <row r="2" spans="1:15" x14ac:dyDescent="0.25">
      <c r="A2" s="4">
        <v>519</v>
      </c>
      <c r="E2" s="1" t="s">
        <v>0</v>
      </c>
      <c r="F2" t="s">
        <v>2</v>
      </c>
    </row>
    <row r="3" spans="1:15" x14ac:dyDescent="0.25">
      <c r="E3" s="2" t="s">
        <v>6</v>
      </c>
      <c r="F3" s="4">
        <v>14</v>
      </c>
    </row>
    <row r="4" spans="1:15" x14ac:dyDescent="0.25">
      <c r="E4" s="2" t="s">
        <v>7</v>
      </c>
      <c r="F4" s="4">
        <v>21</v>
      </c>
    </row>
    <row r="5" spans="1:15" x14ac:dyDescent="0.25">
      <c r="E5" s="2" t="s">
        <v>8</v>
      </c>
      <c r="F5" s="4">
        <v>21</v>
      </c>
      <c r="J5" s="1" t="s">
        <v>0</v>
      </c>
      <c r="K5" t="s">
        <v>3</v>
      </c>
      <c r="N5" s="1" t="s">
        <v>0</v>
      </c>
      <c r="O5" t="s">
        <v>38</v>
      </c>
    </row>
    <row r="6" spans="1:15" x14ac:dyDescent="0.25">
      <c r="A6" t="s">
        <v>3</v>
      </c>
      <c r="E6" s="2" t="s">
        <v>9</v>
      </c>
      <c r="F6" s="4">
        <v>15</v>
      </c>
      <c r="J6" s="2" t="s">
        <v>6</v>
      </c>
      <c r="K6" s="6">
        <v>35.642857142857146</v>
      </c>
      <c r="N6" s="2" t="s">
        <v>6</v>
      </c>
      <c r="O6" s="6">
        <v>7.4</v>
      </c>
    </row>
    <row r="7" spans="1:15" x14ac:dyDescent="0.25">
      <c r="A7" s="4">
        <v>35.809248554913296</v>
      </c>
      <c r="E7" s="2" t="s">
        <v>10</v>
      </c>
      <c r="F7" s="4">
        <v>11</v>
      </c>
      <c r="J7" s="2" t="s">
        <v>7</v>
      </c>
      <c r="K7" s="6">
        <v>27</v>
      </c>
      <c r="N7" s="2" t="s">
        <v>7</v>
      </c>
      <c r="O7" s="6">
        <v>5.6</v>
      </c>
    </row>
    <row r="8" spans="1:15" x14ac:dyDescent="0.25">
      <c r="E8" s="2" t="s">
        <v>11</v>
      </c>
      <c r="F8" s="4">
        <v>17</v>
      </c>
      <c r="J8" s="2" t="s">
        <v>8</v>
      </c>
      <c r="K8" s="6">
        <v>36.047619047619051</v>
      </c>
      <c r="N8" s="2" t="s">
        <v>8</v>
      </c>
      <c r="O8" s="6">
        <v>6.7142857142857144</v>
      </c>
    </row>
    <row r="9" spans="1:15" x14ac:dyDescent="0.25">
      <c r="A9" t="s">
        <v>4</v>
      </c>
      <c r="E9" s="2" t="s">
        <v>12</v>
      </c>
      <c r="F9" s="4">
        <v>15</v>
      </c>
      <c r="J9" s="2" t="s">
        <v>9</v>
      </c>
      <c r="K9" s="6">
        <v>38.866666666666667</v>
      </c>
      <c r="N9" s="2" t="s">
        <v>9</v>
      </c>
      <c r="O9" s="6">
        <v>6</v>
      </c>
    </row>
    <row r="10" spans="1:15" x14ac:dyDescent="0.25">
      <c r="A10" s="4">
        <v>5.1455696202531644</v>
      </c>
      <c r="E10" s="2" t="s">
        <v>13</v>
      </c>
      <c r="F10" s="4">
        <v>17</v>
      </c>
      <c r="J10" s="2" t="s">
        <v>10</v>
      </c>
      <c r="K10" s="6">
        <v>35.909090909090907</v>
      </c>
      <c r="N10" s="2" t="s">
        <v>10</v>
      </c>
      <c r="O10" s="6">
        <v>4</v>
      </c>
    </row>
    <row r="11" spans="1:15" x14ac:dyDescent="0.25">
      <c r="E11" s="2" t="s">
        <v>14</v>
      </c>
      <c r="F11" s="4">
        <v>13</v>
      </c>
      <c r="J11" s="2" t="s">
        <v>11</v>
      </c>
      <c r="K11" s="6">
        <v>38.470588235294116</v>
      </c>
      <c r="N11" s="2" t="s">
        <v>11</v>
      </c>
      <c r="O11" s="6">
        <v>4.7142857142857144</v>
      </c>
    </row>
    <row r="12" spans="1:15" x14ac:dyDescent="0.25">
      <c r="E12" s="2" t="s">
        <v>15</v>
      </c>
      <c r="F12" s="4">
        <v>24</v>
      </c>
      <c r="J12" s="2" t="s">
        <v>12</v>
      </c>
      <c r="K12" s="6">
        <v>36.733333333333334</v>
      </c>
      <c r="N12" s="2" t="s">
        <v>12</v>
      </c>
      <c r="O12" s="6">
        <v>1.8</v>
      </c>
    </row>
    <row r="13" spans="1:15" x14ac:dyDescent="0.25">
      <c r="E13" s="2" t="s">
        <v>16</v>
      </c>
      <c r="F13" s="4">
        <v>13</v>
      </c>
      <c r="J13" s="2" t="s">
        <v>13</v>
      </c>
      <c r="K13" s="6">
        <v>34.588235294117645</v>
      </c>
      <c r="N13" s="2" t="s">
        <v>13</v>
      </c>
      <c r="O13" s="6">
        <v>4.833333333333333</v>
      </c>
    </row>
    <row r="14" spans="1:15" x14ac:dyDescent="0.25">
      <c r="E14" s="2" t="s">
        <v>17</v>
      </c>
      <c r="F14" s="4">
        <v>14</v>
      </c>
      <c r="J14" s="2" t="s">
        <v>14</v>
      </c>
      <c r="K14" s="6">
        <v>37.53846153846154</v>
      </c>
      <c r="N14" s="2" t="s">
        <v>14</v>
      </c>
      <c r="O14" s="6">
        <v>4.25</v>
      </c>
    </row>
    <row r="15" spans="1:15" x14ac:dyDescent="0.25">
      <c r="E15" s="2" t="s">
        <v>18</v>
      </c>
      <c r="F15" s="4">
        <v>12</v>
      </c>
      <c r="J15" s="2" t="s">
        <v>15</v>
      </c>
      <c r="K15" s="6">
        <v>31.708333333333332</v>
      </c>
      <c r="N15" s="2" t="s">
        <v>15</v>
      </c>
      <c r="O15" s="6">
        <v>4.5999999999999996</v>
      </c>
    </row>
    <row r="16" spans="1:15" x14ac:dyDescent="0.25">
      <c r="E16" s="2" t="s">
        <v>19</v>
      </c>
      <c r="F16" s="4">
        <v>11</v>
      </c>
      <c r="J16" s="2" t="s">
        <v>16</v>
      </c>
      <c r="K16" s="6">
        <v>28.923076923076923</v>
      </c>
      <c r="N16" s="2" t="s">
        <v>16</v>
      </c>
      <c r="O16" s="6">
        <v>6.5</v>
      </c>
    </row>
    <row r="17" spans="5:15" x14ac:dyDescent="0.25">
      <c r="E17" s="2" t="s">
        <v>20</v>
      </c>
      <c r="F17" s="4">
        <v>16</v>
      </c>
      <c r="J17" s="2" t="s">
        <v>17</v>
      </c>
      <c r="K17" s="6">
        <v>42.071428571428569</v>
      </c>
      <c r="N17" s="2" t="s">
        <v>17</v>
      </c>
      <c r="O17" s="6">
        <v>5</v>
      </c>
    </row>
    <row r="18" spans="5:15" x14ac:dyDescent="0.25">
      <c r="E18" s="2" t="s">
        <v>21</v>
      </c>
      <c r="F18" s="4">
        <v>20</v>
      </c>
      <c r="J18" s="2" t="s">
        <v>18</v>
      </c>
      <c r="K18" s="6">
        <v>35.833333333333336</v>
      </c>
      <c r="N18" s="2" t="s">
        <v>18</v>
      </c>
      <c r="O18" s="6">
        <v>6</v>
      </c>
    </row>
    <row r="19" spans="5:15" x14ac:dyDescent="0.25">
      <c r="E19" s="2" t="s">
        <v>22</v>
      </c>
      <c r="F19" s="4">
        <v>15</v>
      </c>
      <c r="J19" s="2" t="s">
        <v>19</v>
      </c>
      <c r="K19" s="6">
        <v>28.727272727272727</v>
      </c>
      <c r="N19" s="2" t="s">
        <v>19</v>
      </c>
      <c r="O19" s="6">
        <v>4.7142857142857144</v>
      </c>
    </row>
    <row r="20" spans="5:15" x14ac:dyDescent="0.25">
      <c r="E20" s="2" t="s">
        <v>23</v>
      </c>
      <c r="F20" s="4">
        <v>19</v>
      </c>
      <c r="J20" s="2" t="s">
        <v>20</v>
      </c>
      <c r="K20" s="6">
        <v>35.75</v>
      </c>
      <c r="N20" s="2" t="s">
        <v>20</v>
      </c>
      <c r="O20" s="6">
        <v>4.2</v>
      </c>
    </row>
    <row r="21" spans="5:15" x14ac:dyDescent="0.25">
      <c r="E21" s="2" t="s">
        <v>24</v>
      </c>
      <c r="F21" s="4">
        <v>16</v>
      </c>
      <c r="J21" s="2" t="s">
        <v>21</v>
      </c>
      <c r="K21" s="6">
        <v>34.75</v>
      </c>
      <c r="N21" s="2" t="s">
        <v>21</v>
      </c>
      <c r="O21" s="6">
        <v>7.2</v>
      </c>
    </row>
    <row r="22" spans="5:15" x14ac:dyDescent="0.25">
      <c r="E22" s="2" t="s">
        <v>25</v>
      </c>
      <c r="F22" s="4">
        <v>17</v>
      </c>
      <c r="J22" s="2" t="s">
        <v>22</v>
      </c>
      <c r="K22" s="6">
        <v>37.666666666666664</v>
      </c>
      <c r="N22" s="2" t="s">
        <v>22</v>
      </c>
      <c r="O22" s="6">
        <v>4.333333333333333</v>
      </c>
    </row>
    <row r="23" spans="5:15" x14ac:dyDescent="0.25">
      <c r="E23" s="2" t="s">
        <v>26</v>
      </c>
      <c r="F23" s="4">
        <v>28</v>
      </c>
      <c r="J23" s="2" t="s">
        <v>23</v>
      </c>
      <c r="K23" s="6">
        <v>40.421052631578945</v>
      </c>
      <c r="N23" s="2" t="s">
        <v>23</v>
      </c>
      <c r="O23" s="6">
        <v>3.7777777777777777</v>
      </c>
    </row>
    <row r="24" spans="5:15" x14ac:dyDescent="0.25">
      <c r="E24" s="2" t="s">
        <v>27</v>
      </c>
      <c r="F24" s="4">
        <v>22</v>
      </c>
      <c r="J24" s="2" t="s">
        <v>24</v>
      </c>
      <c r="K24" s="6">
        <v>33.75</v>
      </c>
      <c r="N24" s="2" t="s">
        <v>24</v>
      </c>
      <c r="O24" s="6">
        <v>3.6666666666666665</v>
      </c>
    </row>
    <row r="25" spans="5:15" x14ac:dyDescent="0.25">
      <c r="E25" s="2" t="s">
        <v>28</v>
      </c>
      <c r="F25" s="4">
        <v>20</v>
      </c>
      <c r="J25" s="2" t="s">
        <v>25</v>
      </c>
      <c r="K25" s="6">
        <v>32.764705882352942</v>
      </c>
      <c r="N25" s="2" t="s">
        <v>25</v>
      </c>
      <c r="O25" s="6">
        <v>4</v>
      </c>
    </row>
    <row r="26" spans="5:15" x14ac:dyDescent="0.25">
      <c r="E26" s="2" t="s">
        <v>29</v>
      </c>
      <c r="F26" s="4">
        <v>17</v>
      </c>
      <c r="J26" s="2" t="s">
        <v>26</v>
      </c>
      <c r="K26" s="6">
        <v>37.357142857142854</v>
      </c>
      <c r="N26" s="2" t="s">
        <v>26</v>
      </c>
      <c r="O26" s="6">
        <v>5.833333333333333</v>
      </c>
    </row>
    <row r="27" spans="5:15" x14ac:dyDescent="0.25">
      <c r="E27" s="2" t="s">
        <v>30</v>
      </c>
      <c r="F27" s="4">
        <v>18</v>
      </c>
      <c r="J27" s="2" t="s">
        <v>27</v>
      </c>
      <c r="K27" s="6">
        <v>37.227272727272727</v>
      </c>
      <c r="N27" s="2" t="s">
        <v>27</v>
      </c>
      <c r="O27" s="6">
        <v>5.666666666666667</v>
      </c>
    </row>
    <row r="28" spans="5:15" x14ac:dyDescent="0.25">
      <c r="E28" s="2" t="s">
        <v>31</v>
      </c>
      <c r="F28" s="4">
        <v>13</v>
      </c>
      <c r="J28" s="2" t="s">
        <v>28</v>
      </c>
      <c r="K28" s="6">
        <v>36.700000000000003</v>
      </c>
      <c r="N28" s="2" t="s">
        <v>28</v>
      </c>
      <c r="O28" s="6">
        <v>5.5</v>
      </c>
    </row>
    <row r="29" spans="5:15" x14ac:dyDescent="0.25">
      <c r="E29" s="2" t="s">
        <v>32</v>
      </c>
      <c r="F29" s="4">
        <v>13</v>
      </c>
      <c r="J29" s="2" t="s">
        <v>29</v>
      </c>
      <c r="K29" s="6">
        <v>43.058823529411768</v>
      </c>
      <c r="N29" s="2" t="s">
        <v>29</v>
      </c>
      <c r="O29" s="6">
        <v>5.5</v>
      </c>
    </row>
    <row r="30" spans="5:15" x14ac:dyDescent="0.25">
      <c r="E30" s="2" t="s">
        <v>33</v>
      </c>
      <c r="F30" s="4">
        <v>13</v>
      </c>
      <c r="J30" s="2" t="s">
        <v>30</v>
      </c>
      <c r="K30" s="6">
        <v>39.777777777777779</v>
      </c>
      <c r="N30" s="2" t="s">
        <v>30</v>
      </c>
      <c r="O30" s="6">
        <v>7</v>
      </c>
    </row>
    <row r="31" spans="5:15" x14ac:dyDescent="0.25">
      <c r="E31" s="2" t="s">
        <v>34</v>
      </c>
      <c r="F31" s="4">
        <v>20</v>
      </c>
      <c r="J31" s="2" t="s">
        <v>31</v>
      </c>
      <c r="K31" s="6">
        <v>40.692307692307693</v>
      </c>
      <c r="N31" s="2" t="s">
        <v>31</v>
      </c>
      <c r="O31" s="6">
        <v>7</v>
      </c>
    </row>
    <row r="32" spans="5:15" x14ac:dyDescent="0.25">
      <c r="E32" s="2" t="s">
        <v>35</v>
      </c>
      <c r="F32" s="4">
        <v>15</v>
      </c>
      <c r="J32" s="2" t="s">
        <v>32</v>
      </c>
      <c r="K32" s="6">
        <v>34.46153846153846</v>
      </c>
      <c r="N32" s="2" t="s">
        <v>32</v>
      </c>
      <c r="O32" s="6">
        <v>4</v>
      </c>
    </row>
    <row r="33" spans="1:15" x14ac:dyDescent="0.25">
      <c r="E33" s="2" t="s">
        <v>36</v>
      </c>
      <c r="F33" s="4">
        <v>19</v>
      </c>
      <c r="J33" s="2" t="s">
        <v>33</v>
      </c>
      <c r="K33" s="6">
        <v>30.307692307692307</v>
      </c>
      <c r="N33" s="2" t="s">
        <v>33</v>
      </c>
      <c r="O33" s="6">
        <v>4.4444444444444446</v>
      </c>
    </row>
    <row r="34" spans="1:15" x14ac:dyDescent="0.25">
      <c r="E34" s="2" t="s">
        <v>1</v>
      </c>
      <c r="F34" s="4">
        <v>519</v>
      </c>
      <c r="J34" s="2" t="s">
        <v>34</v>
      </c>
      <c r="K34" s="6">
        <v>38.5</v>
      </c>
      <c r="N34" s="2" t="s">
        <v>34</v>
      </c>
      <c r="O34" s="6">
        <v>4.8571428571428568</v>
      </c>
    </row>
    <row r="35" spans="1:15" x14ac:dyDescent="0.25">
      <c r="J35" s="2" t="s">
        <v>35</v>
      </c>
      <c r="K35" s="6">
        <v>35.333333333333336</v>
      </c>
      <c r="N35" s="2" t="s">
        <v>35</v>
      </c>
      <c r="O35" s="6">
        <v>5.5714285714285712</v>
      </c>
    </row>
    <row r="36" spans="1:15" x14ac:dyDescent="0.25">
      <c r="J36" s="2" t="s">
        <v>36</v>
      </c>
      <c r="K36" s="6">
        <v>32.421052631578945</v>
      </c>
      <c r="N36" s="2" t="s">
        <v>36</v>
      </c>
      <c r="O36" s="6">
        <v>6</v>
      </c>
    </row>
    <row r="37" spans="1:15" x14ac:dyDescent="0.25">
      <c r="J37" s="2" t="s">
        <v>1</v>
      </c>
      <c r="K37" s="6">
        <v>35.809248554913296</v>
      </c>
      <c r="N37" s="2" t="s">
        <v>1</v>
      </c>
      <c r="O37" s="6">
        <v>5.1455696202531644</v>
      </c>
    </row>
    <row r="43" spans="1:15" x14ac:dyDescent="0.25">
      <c r="A43" s="1" t="s">
        <v>0</v>
      </c>
      <c r="B43" t="s">
        <v>39</v>
      </c>
      <c r="C43" t="s">
        <v>42</v>
      </c>
    </row>
    <row r="44" spans="1:15" x14ac:dyDescent="0.25">
      <c r="A44" s="2" t="s">
        <v>40</v>
      </c>
      <c r="B44" s="7">
        <v>266</v>
      </c>
      <c r="C44" s="12">
        <v>0.51252408477842004</v>
      </c>
    </row>
    <row r="45" spans="1:15" x14ac:dyDescent="0.25">
      <c r="A45" s="2" t="s">
        <v>41</v>
      </c>
      <c r="B45" s="7">
        <v>253</v>
      </c>
      <c r="C45" s="12">
        <v>0.48747591522157996</v>
      </c>
    </row>
    <row r="46" spans="1:15" x14ac:dyDescent="0.25">
      <c r="A46" s="2" t="s">
        <v>1</v>
      </c>
      <c r="B46" s="7">
        <v>519</v>
      </c>
      <c r="C46" s="12">
        <v>1</v>
      </c>
    </row>
    <row r="52" spans="1:6" x14ac:dyDescent="0.25">
      <c r="A52" s="16" t="s">
        <v>43</v>
      </c>
      <c r="B52" s="16" t="s">
        <v>44</v>
      </c>
      <c r="C52" s="16" t="s">
        <v>45</v>
      </c>
      <c r="D52" s="15"/>
    </row>
    <row r="53" spans="1:6" x14ac:dyDescent="0.25">
      <c r="A53" s="13" t="str">
        <f>A44</f>
        <v>Admitted</v>
      </c>
      <c r="B53" s="13">
        <f t="shared" ref="B53:C53" si="0">B44</f>
        <v>266</v>
      </c>
      <c r="C53" s="14">
        <f t="shared" si="0"/>
        <v>0.51252408477842004</v>
      </c>
      <c r="D53" s="5"/>
      <c r="E53" s="11"/>
    </row>
    <row r="54" spans="1:6" x14ac:dyDescent="0.25">
      <c r="A54" s="13" t="str">
        <f>A45</f>
        <v>Not Admitted</v>
      </c>
      <c r="B54" s="13">
        <f t="shared" ref="B54:C54" si="1">B45</f>
        <v>253</v>
      </c>
      <c r="C54" s="14">
        <f t="shared" si="1"/>
        <v>0.48747591522157996</v>
      </c>
      <c r="D54" s="5"/>
    </row>
    <row r="55" spans="1:6" x14ac:dyDescent="0.25">
      <c r="A55" s="5"/>
      <c r="B55" s="5"/>
      <c r="C55" s="5"/>
      <c r="D55" s="5"/>
      <c r="E55" s="11"/>
    </row>
    <row r="56" spans="1:6" x14ac:dyDescent="0.25">
      <c r="E56" s="11"/>
    </row>
    <row r="57" spans="1:6" x14ac:dyDescent="0.25">
      <c r="A57" t="s">
        <v>55</v>
      </c>
    </row>
    <row r="58" spans="1:6" x14ac:dyDescent="0.25">
      <c r="A58" s="1" t="s">
        <v>0</v>
      </c>
      <c r="B58" s="10" t="s">
        <v>54</v>
      </c>
      <c r="E58" s="1" t="s">
        <v>0</v>
      </c>
      <c r="F58" s="10" t="s">
        <v>58</v>
      </c>
    </row>
    <row r="59" spans="1:6" x14ac:dyDescent="0.25">
      <c r="A59" s="2" t="s">
        <v>46</v>
      </c>
      <c r="B59" s="7">
        <v>73</v>
      </c>
      <c r="E59" s="2" t="s">
        <v>56</v>
      </c>
      <c r="F59" s="7">
        <v>324</v>
      </c>
    </row>
    <row r="60" spans="1:6" x14ac:dyDescent="0.25">
      <c r="A60" s="2" t="s">
        <v>47</v>
      </c>
      <c r="B60" s="7">
        <v>64</v>
      </c>
      <c r="E60" s="2" t="s">
        <v>57</v>
      </c>
      <c r="F60" s="7">
        <v>195</v>
      </c>
    </row>
    <row r="61" spans="1:6" x14ac:dyDescent="0.25">
      <c r="A61" s="2" t="s">
        <v>48</v>
      </c>
      <c r="B61" s="7">
        <v>74</v>
      </c>
      <c r="E61" s="2" t="s">
        <v>1</v>
      </c>
      <c r="F61" s="7">
        <v>519</v>
      </c>
    </row>
    <row r="62" spans="1:6" x14ac:dyDescent="0.25">
      <c r="A62" s="2" t="s">
        <v>49</v>
      </c>
      <c r="B62" s="7">
        <v>71</v>
      </c>
    </row>
    <row r="63" spans="1:6" x14ac:dyDescent="0.25">
      <c r="A63" s="2" t="s">
        <v>50</v>
      </c>
      <c r="B63" s="7">
        <v>58</v>
      </c>
    </row>
    <row r="64" spans="1:6" x14ac:dyDescent="0.25">
      <c r="A64" s="2" t="s">
        <v>51</v>
      </c>
      <c r="B64" s="7">
        <v>68</v>
      </c>
    </row>
    <row r="65" spans="1:6" x14ac:dyDescent="0.25">
      <c r="A65" s="2" t="s">
        <v>52</v>
      </c>
      <c r="B65" s="7">
        <v>62</v>
      </c>
    </row>
    <row r="66" spans="1:6" x14ac:dyDescent="0.25">
      <c r="A66" s="2" t="s">
        <v>53</v>
      </c>
      <c r="B66" s="7">
        <v>49</v>
      </c>
      <c r="E66" s="1" t="s">
        <v>0</v>
      </c>
      <c r="F66" s="10" t="s">
        <v>58</v>
      </c>
    </row>
    <row r="67" spans="1:6" x14ac:dyDescent="0.25">
      <c r="A67" s="2" t="s">
        <v>1</v>
      </c>
      <c r="B67" s="7">
        <v>519</v>
      </c>
      <c r="E67" s="2">
        <v>10</v>
      </c>
      <c r="F67" s="7">
        <v>8</v>
      </c>
    </row>
    <row r="68" spans="1:6" x14ac:dyDescent="0.25">
      <c r="E68" s="2">
        <v>11</v>
      </c>
      <c r="F68" s="7">
        <v>6</v>
      </c>
    </row>
    <row r="69" spans="1:6" x14ac:dyDescent="0.25">
      <c r="E69" s="2">
        <v>12</v>
      </c>
      <c r="F69" s="7">
        <v>7</v>
      </c>
    </row>
    <row r="70" spans="1:6" x14ac:dyDescent="0.25">
      <c r="E70" s="2">
        <v>13</v>
      </c>
      <c r="F70" s="7">
        <v>11</v>
      </c>
    </row>
    <row r="71" spans="1:6" x14ac:dyDescent="0.25">
      <c r="A71" t="s">
        <v>61</v>
      </c>
      <c r="E71" s="2">
        <v>14</v>
      </c>
      <c r="F71" s="7">
        <v>9</v>
      </c>
    </row>
    <row r="72" spans="1:6" x14ac:dyDescent="0.25">
      <c r="A72" s="1" t="s">
        <v>0</v>
      </c>
      <c r="B72" s="10" t="s">
        <v>58</v>
      </c>
      <c r="E72" s="2">
        <v>15</v>
      </c>
      <c r="F72" s="7">
        <v>12</v>
      </c>
    </row>
    <row r="73" spans="1:6" x14ac:dyDescent="0.25">
      <c r="A73" s="2" t="s">
        <v>59</v>
      </c>
      <c r="B73" s="7">
        <v>254</v>
      </c>
      <c r="E73" s="2">
        <v>16</v>
      </c>
      <c r="F73" s="7">
        <v>7</v>
      </c>
    </row>
    <row r="74" spans="1:6" x14ac:dyDescent="0.25">
      <c r="A74" s="2" t="s">
        <v>60</v>
      </c>
      <c r="B74" s="7">
        <v>265</v>
      </c>
      <c r="E74" s="2">
        <v>17</v>
      </c>
      <c r="F74" s="7">
        <v>12</v>
      </c>
    </row>
    <row r="75" spans="1:6" x14ac:dyDescent="0.25">
      <c r="A75" s="2" t="s">
        <v>1</v>
      </c>
      <c r="B75" s="7">
        <v>519</v>
      </c>
      <c r="E75" s="2">
        <v>18</v>
      </c>
      <c r="F75" s="7">
        <v>6</v>
      </c>
    </row>
    <row r="76" spans="1:6" x14ac:dyDescent="0.25">
      <c r="E76" s="2">
        <v>19</v>
      </c>
      <c r="F76" s="7">
        <v>8</v>
      </c>
    </row>
    <row r="77" spans="1:6" x14ac:dyDescent="0.25">
      <c r="E77" s="2">
        <v>20</v>
      </c>
      <c r="F77" s="7">
        <v>7</v>
      </c>
    </row>
    <row r="78" spans="1:6" x14ac:dyDescent="0.25">
      <c r="A78" s="2"/>
      <c r="B78" s="7"/>
      <c r="E78" s="2">
        <v>21</v>
      </c>
      <c r="F78" s="7">
        <v>6</v>
      </c>
    </row>
    <row r="79" spans="1:6" x14ac:dyDescent="0.25">
      <c r="A79" s="2"/>
      <c r="B79" s="7"/>
      <c r="E79" s="2">
        <v>22</v>
      </c>
      <c r="F79" s="7">
        <v>15</v>
      </c>
    </row>
    <row r="80" spans="1:6" x14ac:dyDescent="0.25">
      <c r="E80" s="2">
        <v>23</v>
      </c>
      <c r="F80" s="7">
        <v>9</v>
      </c>
    </row>
    <row r="81" spans="1:6" x14ac:dyDescent="0.25">
      <c r="E81" s="2">
        <v>24</v>
      </c>
      <c r="F81" s="7">
        <v>14</v>
      </c>
    </row>
    <row r="82" spans="1:6" x14ac:dyDescent="0.25">
      <c r="E82" s="2">
        <v>25</v>
      </c>
      <c r="F82" s="7">
        <v>10</v>
      </c>
    </row>
    <row r="83" spans="1:6" x14ac:dyDescent="0.25">
      <c r="E83" s="2">
        <v>26</v>
      </c>
      <c r="F83" s="7">
        <v>8</v>
      </c>
    </row>
    <row r="84" spans="1:6" x14ac:dyDescent="0.25">
      <c r="E84" s="2">
        <v>27</v>
      </c>
      <c r="F84" s="7">
        <v>9</v>
      </c>
    </row>
    <row r="85" spans="1:6" x14ac:dyDescent="0.25">
      <c r="E85" s="2">
        <v>28</v>
      </c>
      <c r="F85" s="7">
        <v>11</v>
      </c>
    </row>
    <row r="86" spans="1:6" x14ac:dyDescent="0.25">
      <c r="A86" t="s">
        <v>70</v>
      </c>
      <c r="E86" s="2">
        <v>29</v>
      </c>
      <c r="F86" s="7">
        <v>8</v>
      </c>
    </row>
    <row r="87" spans="1:6" x14ac:dyDescent="0.25">
      <c r="A87" s="1" t="s">
        <v>0</v>
      </c>
      <c r="B87" s="10" t="s">
        <v>58</v>
      </c>
      <c r="E87" s="2">
        <v>30</v>
      </c>
      <c r="F87" s="7">
        <v>12</v>
      </c>
    </row>
    <row r="88" spans="1:6" x14ac:dyDescent="0.25">
      <c r="A88" s="2" t="s">
        <v>69</v>
      </c>
      <c r="B88" s="7">
        <v>3</v>
      </c>
      <c r="E88" s="2">
        <v>31</v>
      </c>
      <c r="F88" s="7">
        <v>10</v>
      </c>
    </row>
    <row r="89" spans="1:6" x14ac:dyDescent="0.25">
      <c r="A89" s="2" t="s">
        <v>63</v>
      </c>
      <c r="B89" s="7">
        <v>8</v>
      </c>
      <c r="E89" s="2">
        <v>32</v>
      </c>
      <c r="F89" s="7">
        <v>11</v>
      </c>
    </row>
    <row r="90" spans="1:6" x14ac:dyDescent="0.25">
      <c r="A90" s="2" t="s">
        <v>62</v>
      </c>
      <c r="B90" s="7">
        <v>11</v>
      </c>
      <c r="E90" s="2">
        <v>33</v>
      </c>
      <c r="F90" s="7">
        <v>14</v>
      </c>
    </row>
    <row r="91" spans="1:6" x14ac:dyDescent="0.25">
      <c r="A91" s="2" t="s">
        <v>68</v>
      </c>
      <c r="B91" s="7">
        <v>15</v>
      </c>
      <c r="E91" s="2">
        <v>34</v>
      </c>
      <c r="F91" s="7">
        <v>12</v>
      </c>
    </row>
    <row r="92" spans="1:6" x14ac:dyDescent="0.25">
      <c r="A92" s="2" t="s">
        <v>65</v>
      </c>
      <c r="B92" s="7">
        <v>16</v>
      </c>
      <c r="E92" s="2">
        <v>35</v>
      </c>
      <c r="F92" s="7">
        <v>7</v>
      </c>
    </row>
    <row r="93" spans="1:6" x14ac:dyDescent="0.25">
      <c r="A93" s="2" t="s">
        <v>67</v>
      </c>
      <c r="B93" s="7">
        <v>51</v>
      </c>
      <c r="E93" s="2">
        <v>36</v>
      </c>
      <c r="F93" s="7">
        <v>15</v>
      </c>
    </row>
    <row r="94" spans="1:6" x14ac:dyDescent="0.25">
      <c r="A94" s="2" t="s">
        <v>64</v>
      </c>
      <c r="B94" s="7">
        <v>102</v>
      </c>
      <c r="E94" s="2">
        <v>37</v>
      </c>
      <c r="F94" s="7">
        <v>15</v>
      </c>
    </row>
    <row r="95" spans="1:6" x14ac:dyDescent="0.25">
      <c r="A95" s="2" t="s">
        <v>66</v>
      </c>
      <c r="B95" s="7">
        <v>313</v>
      </c>
      <c r="E95" s="2">
        <v>38</v>
      </c>
      <c r="F95" s="7">
        <v>12</v>
      </c>
    </row>
    <row r="96" spans="1:6" x14ac:dyDescent="0.25">
      <c r="A96" s="2" t="s">
        <v>1</v>
      </c>
      <c r="B96" s="7">
        <v>519</v>
      </c>
      <c r="E96" s="2">
        <v>39</v>
      </c>
      <c r="F96" s="7">
        <v>12</v>
      </c>
    </row>
    <row r="97" spans="1:6" x14ac:dyDescent="0.25">
      <c r="E97" s="2">
        <v>40</v>
      </c>
      <c r="F97" s="7">
        <v>10</v>
      </c>
    </row>
    <row r="98" spans="1:6" x14ac:dyDescent="0.25">
      <c r="E98" s="2">
        <v>41</v>
      </c>
      <c r="F98" s="7">
        <v>10</v>
      </c>
    </row>
    <row r="99" spans="1:6" x14ac:dyDescent="0.25">
      <c r="E99" s="2">
        <v>42</v>
      </c>
      <c r="F99" s="7">
        <v>8</v>
      </c>
    </row>
    <row r="100" spans="1:6" x14ac:dyDescent="0.25">
      <c r="E100" s="2">
        <v>43</v>
      </c>
      <c r="F100" s="7">
        <v>13</v>
      </c>
    </row>
    <row r="101" spans="1:6" x14ac:dyDescent="0.25">
      <c r="E101" s="2">
        <v>44</v>
      </c>
      <c r="F101" s="7">
        <v>16</v>
      </c>
    </row>
    <row r="102" spans="1:6" x14ac:dyDescent="0.25">
      <c r="E102" s="2">
        <v>45</v>
      </c>
      <c r="F102" s="7">
        <v>10</v>
      </c>
    </row>
    <row r="103" spans="1:6" x14ac:dyDescent="0.25">
      <c r="E103" s="2">
        <v>46</v>
      </c>
      <c r="F103" s="7">
        <v>4</v>
      </c>
    </row>
    <row r="104" spans="1:6" x14ac:dyDescent="0.25">
      <c r="E104" s="2">
        <v>47</v>
      </c>
      <c r="F104" s="7">
        <v>10</v>
      </c>
    </row>
    <row r="105" spans="1:6" x14ac:dyDescent="0.25">
      <c r="E105" s="2">
        <v>48</v>
      </c>
      <c r="F105" s="7">
        <v>12</v>
      </c>
    </row>
    <row r="106" spans="1:6" x14ac:dyDescent="0.25">
      <c r="E106" s="2">
        <v>49</v>
      </c>
      <c r="F106" s="7">
        <v>8</v>
      </c>
    </row>
    <row r="107" spans="1:6" x14ac:dyDescent="0.25">
      <c r="E107" s="2">
        <v>50</v>
      </c>
      <c r="F107" s="7">
        <v>13</v>
      </c>
    </row>
    <row r="108" spans="1:6" x14ac:dyDescent="0.25">
      <c r="E108" s="2">
        <v>51</v>
      </c>
      <c r="F108" s="7">
        <v>11</v>
      </c>
    </row>
    <row r="109" spans="1:6" x14ac:dyDescent="0.25">
      <c r="E109" s="2">
        <v>52</v>
      </c>
      <c r="F109" s="7">
        <v>9</v>
      </c>
    </row>
    <row r="110" spans="1:6" x14ac:dyDescent="0.25">
      <c r="E110" s="2">
        <v>53</v>
      </c>
      <c r="F110" s="7">
        <v>13</v>
      </c>
    </row>
    <row r="111" spans="1:6" x14ac:dyDescent="0.25">
      <c r="A111" s="1" t="s">
        <v>0</v>
      </c>
      <c r="E111" s="2">
        <v>54</v>
      </c>
      <c r="F111" s="7">
        <v>10</v>
      </c>
    </row>
    <row r="112" spans="1:6" x14ac:dyDescent="0.25">
      <c r="A112" s="2" t="s">
        <v>5</v>
      </c>
      <c r="E112" s="2">
        <v>55</v>
      </c>
      <c r="F112" s="7">
        <v>10</v>
      </c>
    </row>
    <row r="113" spans="5:6" x14ac:dyDescent="0.25">
      <c r="E113" s="2">
        <v>56</v>
      </c>
      <c r="F113" s="7">
        <v>5</v>
      </c>
    </row>
    <row r="114" spans="5:6" x14ac:dyDescent="0.25">
      <c r="E114" s="2">
        <v>57</v>
      </c>
      <c r="F114" s="7">
        <v>12</v>
      </c>
    </row>
    <row r="115" spans="5:6" x14ac:dyDescent="0.25">
      <c r="E115" s="2">
        <v>58</v>
      </c>
      <c r="F115" s="7">
        <v>9</v>
      </c>
    </row>
    <row r="116" spans="5:6" x14ac:dyDescent="0.25">
      <c r="E116" s="2">
        <v>59</v>
      </c>
      <c r="F116" s="7">
        <v>11</v>
      </c>
    </row>
    <row r="117" spans="5:6" x14ac:dyDescent="0.25">
      <c r="E117" s="2">
        <v>60</v>
      </c>
      <c r="F117" s="7">
        <v>12</v>
      </c>
    </row>
    <row r="118" spans="5:6" x14ac:dyDescent="0.25">
      <c r="E118" s="2" t="s">
        <v>1</v>
      </c>
      <c r="F118" s="7">
        <v>519</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A2886-9C6B-44ED-A810-03995AC87F0D}">
  <dimension ref="A1"/>
  <sheetViews>
    <sheetView topLeftCell="A5"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EB32-D5DC-4555-A727-FE955460A3AA}">
  <dimension ref="O7"/>
  <sheetViews>
    <sheetView tabSelected="1" zoomScale="111" zoomScaleNormal="124" workbookViewId="0">
      <selection activeCell="N5" sqref="N5"/>
    </sheetView>
  </sheetViews>
  <sheetFormatPr defaultRowHeight="15" x14ac:dyDescent="0.25"/>
  <cols>
    <col min="1" max="16384" width="9.140625" style="3"/>
  </cols>
  <sheetData>
    <row r="7" spans="15:15" x14ac:dyDescent="0.25">
      <c r="O7" s="3" t="s">
        <v>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68923-C1EA-4157-B1F3-9B46E39049E9}">
  <dimension ref="A1:U22"/>
  <sheetViews>
    <sheetView workbookViewId="0"/>
  </sheetViews>
  <sheetFormatPr defaultRowHeight="15" x14ac:dyDescent="0.25"/>
  <sheetData>
    <row r="1" spans="1:21" x14ac:dyDescent="0.25">
      <c r="A1" s="9"/>
      <c r="B1" s="5"/>
      <c r="C1" s="5"/>
      <c r="D1" s="5"/>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x14ac:dyDescent="0.25">
      <c r="A3" s="5"/>
      <c r="B3" s="5"/>
      <c r="C3" s="5"/>
      <c r="D3" s="5"/>
      <c r="E3" s="5"/>
      <c r="F3" s="5"/>
      <c r="G3" s="5"/>
      <c r="H3" s="5"/>
      <c r="I3" s="5"/>
      <c r="J3" s="5"/>
      <c r="K3" s="5"/>
      <c r="L3" s="5"/>
      <c r="M3" s="5"/>
      <c r="N3" s="5"/>
      <c r="O3" s="5"/>
      <c r="P3" s="5"/>
      <c r="Q3" s="5"/>
      <c r="R3" s="5"/>
      <c r="S3" s="5"/>
      <c r="T3" s="5"/>
      <c r="U3" s="5"/>
    </row>
    <row r="4" spans="1:21" x14ac:dyDescent="0.25">
      <c r="A4" s="5"/>
      <c r="B4" s="5"/>
      <c r="C4" s="5"/>
      <c r="D4" s="5"/>
      <c r="E4" s="5"/>
      <c r="F4" s="5"/>
      <c r="G4" s="5"/>
      <c r="H4" s="5"/>
      <c r="I4" s="5"/>
      <c r="J4" s="5"/>
      <c r="K4" s="5"/>
      <c r="L4" s="5"/>
      <c r="M4" s="5"/>
      <c r="N4" s="5"/>
      <c r="O4" s="5"/>
      <c r="P4" s="5"/>
      <c r="Q4" s="5"/>
      <c r="R4" s="5"/>
      <c r="S4" s="5"/>
      <c r="T4" s="5"/>
      <c r="U4" s="5"/>
    </row>
    <row r="5" spans="1:21" x14ac:dyDescent="0.25">
      <c r="A5" s="5"/>
      <c r="B5" s="5"/>
      <c r="C5" s="5"/>
      <c r="D5" s="5"/>
      <c r="E5" s="5"/>
      <c r="F5" s="5"/>
      <c r="G5" s="5"/>
      <c r="H5" s="5"/>
      <c r="I5" s="5"/>
      <c r="J5" s="5"/>
      <c r="K5" s="5"/>
      <c r="L5" s="5"/>
      <c r="M5" s="5"/>
      <c r="N5" s="5"/>
      <c r="O5" s="5"/>
      <c r="P5" s="5"/>
      <c r="Q5" s="5"/>
      <c r="R5" s="5"/>
      <c r="S5" s="5"/>
      <c r="T5" s="5"/>
      <c r="U5" s="5"/>
    </row>
    <row r="6" spans="1:21" x14ac:dyDescent="0.25">
      <c r="A6" s="5"/>
      <c r="B6" s="5"/>
      <c r="C6" s="5"/>
      <c r="D6" s="5"/>
      <c r="E6" s="5"/>
      <c r="F6" s="5"/>
      <c r="G6" s="5"/>
      <c r="H6" s="5"/>
      <c r="I6" s="5"/>
      <c r="J6" s="5"/>
      <c r="K6" s="5"/>
      <c r="L6" s="5"/>
      <c r="M6" s="5"/>
      <c r="N6" s="5"/>
      <c r="O6" s="5"/>
      <c r="P6" s="5"/>
      <c r="Q6" s="5"/>
      <c r="R6" s="5"/>
      <c r="S6" s="5"/>
      <c r="T6" s="5"/>
      <c r="U6" s="5"/>
    </row>
    <row r="7" spans="1:21" x14ac:dyDescent="0.25">
      <c r="A7" s="5"/>
      <c r="B7" s="5"/>
      <c r="C7" s="5"/>
      <c r="D7" s="5"/>
      <c r="E7" s="5"/>
      <c r="F7" s="5"/>
      <c r="G7" s="5"/>
      <c r="H7" s="5"/>
      <c r="I7" s="5"/>
      <c r="J7" s="5"/>
      <c r="K7" s="5"/>
      <c r="L7" s="5"/>
      <c r="M7" s="5"/>
      <c r="N7" s="5"/>
      <c r="O7" s="5"/>
      <c r="P7" s="5"/>
      <c r="Q7" s="5"/>
      <c r="R7" s="5"/>
      <c r="S7" s="5"/>
      <c r="T7" s="5"/>
      <c r="U7" s="5"/>
    </row>
    <row r="8" spans="1:21" x14ac:dyDescent="0.25">
      <c r="A8" s="5"/>
      <c r="B8" s="5"/>
      <c r="C8" s="5"/>
      <c r="D8" s="5"/>
      <c r="E8" s="5"/>
      <c r="F8" s="5"/>
      <c r="G8" s="5"/>
      <c r="H8" s="5"/>
      <c r="I8" s="5"/>
      <c r="J8" s="5"/>
      <c r="K8" s="5"/>
      <c r="L8" s="5"/>
      <c r="M8" s="5"/>
      <c r="N8" s="5"/>
      <c r="O8" s="5"/>
      <c r="P8" s="5"/>
      <c r="Q8" s="5"/>
      <c r="R8" s="5"/>
      <c r="S8" s="5"/>
      <c r="T8" s="5"/>
      <c r="U8" s="5"/>
    </row>
    <row r="9" spans="1:21" x14ac:dyDescent="0.25">
      <c r="A9" s="5"/>
      <c r="B9" s="5"/>
      <c r="C9" s="5"/>
      <c r="D9" s="5"/>
      <c r="E9" s="5"/>
      <c r="F9" s="5"/>
      <c r="G9" s="5"/>
      <c r="H9" s="5"/>
      <c r="I9" s="5"/>
      <c r="J9" s="5"/>
      <c r="K9" s="5"/>
      <c r="L9" s="5"/>
      <c r="M9" s="5"/>
      <c r="N9" s="5"/>
      <c r="O9" s="5"/>
      <c r="P9" s="5"/>
      <c r="Q9" s="5"/>
      <c r="R9" s="5"/>
      <c r="S9" s="5"/>
      <c r="T9" s="5"/>
      <c r="U9" s="5"/>
    </row>
    <row r="10" spans="1:21" x14ac:dyDescent="0.25">
      <c r="A10" s="5"/>
      <c r="B10" s="5"/>
      <c r="C10" s="5"/>
      <c r="D10" s="5"/>
      <c r="E10" s="5"/>
      <c r="F10" s="5"/>
      <c r="G10" s="5"/>
      <c r="H10" s="5"/>
      <c r="I10" s="5"/>
      <c r="J10" s="5"/>
      <c r="K10" s="5"/>
      <c r="L10" s="5"/>
      <c r="M10" s="5"/>
      <c r="N10" s="5"/>
      <c r="O10" s="5"/>
      <c r="P10" s="5"/>
      <c r="Q10" s="5"/>
      <c r="R10" s="5"/>
      <c r="S10" s="5"/>
      <c r="T10" s="5"/>
      <c r="U10" s="5"/>
    </row>
    <row r="11" spans="1:21" x14ac:dyDescent="0.25">
      <c r="A11" s="5"/>
      <c r="B11" s="5"/>
      <c r="C11" s="5"/>
      <c r="D11" s="5"/>
      <c r="E11" s="5"/>
      <c r="F11" s="5"/>
      <c r="G11" s="5"/>
      <c r="H11" s="5"/>
      <c r="I11" s="5"/>
      <c r="J11" s="5"/>
      <c r="K11" s="5"/>
      <c r="L11" s="5"/>
      <c r="M11" s="5"/>
      <c r="N11" s="5"/>
      <c r="O11" s="5"/>
      <c r="P11" s="5"/>
      <c r="Q11" s="5"/>
      <c r="R11" s="5"/>
      <c r="S11" s="5"/>
      <c r="T11" s="5"/>
      <c r="U11" s="5"/>
    </row>
    <row r="12" spans="1:21" x14ac:dyDescent="0.25">
      <c r="A12" s="5"/>
      <c r="B12" s="5"/>
      <c r="C12" s="5"/>
      <c r="D12" s="5"/>
      <c r="E12" s="5"/>
      <c r="F12" s="5"/>
      <c r="G12" s="5"/>
      <c r="H12" s="5"/>
      <c r="I12" s="5"/>
      <c r="J12" s="5"/>
      <c r="K12" s="5"/>
      <c r="L12" s="5"/>
      <c r="M12" s="5"/>
      <c r="N12" s="5"/>
      <c r="O12" s="5"/>
      <c r="P12" s="5"/>
      <c r="Q12" s="5"/>
      <c r="R12" s="5"/>
      <c r="S12" s="5"/>
      <c r="T12" s="5"/>
      <c r="U12" s="5"/>
    </row>
    <row r="13" spans="1:21" x14ac:dyDescent="0.25">
      <c r="A13" s="5"/>
      <c r="B13" s="5"/>
      <c r="C13" s="5"/>
      <c r="D13" s="5"/>
      <c r="E13" s="5"/>
      <c r="F13" s="5"/>
      <c r="G13" s="5"/>
      <c r="H13" s="5"/>
      <c r="I13" s="5"/>
      <c r="J13" s="5"/>
      <c r="K13" s="5"/>
      <c r="L13" s="5"/>
      <c r="M13" s="5"/>
      <c r="N13" s="5"/>
      <c r="O13" s="5"/>
      <c r="P13" s="5"/>
      <c r="Q13" s="5"/>
      <c r="R13" s="5"/>
      <c r="S13" s="5"/>
      <c r="T13" s="5"/>
      <c r="U13" s="5"/>
    </row>
    <row r="14" spans="1:21" x14ac:dyDescent="0.25">
      <c r="A14" s="5"/>
      <c r="B14" s="5"/>
      <c r="C14" s="5"/>
      <c r="D14" s="5"/>
      <c r="E14" s="5"/>
      <c r="F14" s="5"/>
      <c r="G14" s="5"/>
      <c r="H14" s="5"/>
      <c r="I14" s="5"/>
      <c r="J14" s="5"/>
      <c r="K14" s="5"/>
      <c r="L14" s="5"/>
      <c r="M14" s="5"/>
      <c r="N14" s="5"/>
      <c r="O14" s="5"/>
      <c r="P14" s="5"/>
      <c r="Q14" s="5"/>
      <c r="R14" s="5"/>
      <c r="S14" s="5"/>
      <c r="T14" s="5"/>
      <c r="U14" s="5"/>
    </row>
    <row r="15" spans="1:21" x14ac:dyDescent="0.25">
      <c r="A15" s="5"/>
      <c r="B15" s="5"/>
      <c r="C15" s="5"/>
      <c r="D15" s="5"/>
      <c r="E15" s="5"/>
      <c r="F15" s="5"/>
      <c r="G15" s="5"/>
      <c r="H15" s="5"/>
      <c r="I15" s="5"/>
      <c r="J15" s="5"/>
      <c r="K15" s="5"/>
      <c r="L15" s="5"/>
      <c r="M15" s="5"/>
      <c r="N15" s="5"/>
      <c r="O15" s="5"/>
      <c r="P15" s="5"/>
      <c r="Q15" s="5"/>
      <c r="R15" s="5"/>
      <c r="S15" s="5"/>
      <c r="T15" s="5"/>
      <c r="U15" s="5"/>
    </row>
    <row r="16" spans="1:21" x14ac:dyDescent="0.25">
      <c r="A16" s="5"/>
      <c r="B16" s="5"/>
      <c r="C16" s="5"/>
      <c r="D16" s="5"/>
      <c r="E16" s="5"/>
      <c r="F16" s="5"/>
      <c r="G16" s="5"/>
      <c r="H16" s="5"/>
      <c r="I16" s="5"/>
      <c r="J16" s="5"/>
      <c r="K16" s="5"/>
      <c r="L16" s="5"/>
      <c r="M16" s="5"/>
      <c r="N16" s="5"/>
      <c r="O16" s="5"/>
      <c r="P16" s="5"/>
      <c r="Q16" s="5"/>
      <c r="R16" s="5"/>
      <c r="S16" s="5"/>
      <c r="T16" s="5"/>
      <c r="U16" s="5"/>
    </row>
    <row r="17" spans="1:21" x14ac:dyDescent="0.25">
      <c r="A17" s="5"/>
      <c r="B17" s="5"/>
      <c r="C17" s="5"/>
      <c r="D17" s="5"/>
      <c r="E17" s="5"/>
      <c r="F17" s="5"/>
      <c r="G17" s="5"/>
      <c r="H17" s="5"/>
      <c r="I17" s="5"/>
      <c r="J17" s="5"/>
      <c r="K17" s="5"/>
      <c r="L17" s="5"/>
      <c r="M17" s="5"/>
      <c r="N17" s="5"/>
      <c r="O17" s="5"/>
      <c r="P17" s="5"/>
      <c r="Q17" s="5"/>
      <c r="R17" s="5"/>
      <c r="S17" s="5"/>
      <c r="T17" s="5"/>
      <c r="U17" s="5"/>
    </row>
    <row r="18" spans="1:21" x14ac:dyDescent="0.25">
      <c r="A18" s="5"/>
      <c r="B18" s="5"/>
      <c r="C18" s="5"/>
      <c r="D18" s="5"/>
      <c r="E18" s="5"/>
      <c r="F18" s="5"/>
      <c r="G18" s="5"/>
      <c r="H18" s="5"/>
      <c r="I18" s="5"/>
      <c r="J18" s="5"/>
      <c r="K18" s="5"/>
      <c r="L18" s="5"/>
      <c r="M18" s="5"/>
      <c r="N18" s="5"/>
      <c r="O18" s="5"/>
      <c r="P18" s="5"/>
      <c r="Q18" s="5"/>
      <c r="R18" s="5"/>
      <c r="S18" s="5"/>
      <c r="T18" s="5"/>
      <c r="U18" s="5"/>
    </row>
    <row r="19" spans="1:21" x14ac:dyDescent="0.25">
      <c r="A19" s="5"/>
      <c r="B19" s="5"/>
      <c r="C19" s="5"/>
      <c r="D19" s="5"/>
      <c r="E19" s="5"/>
      <c r="F19" s="5"/>
      <c r="G19" s="5"/>
      <c r="H19" s="5"/>
      <c r="I19" s="5"/>
      <c r="J19" s="5"/>
      <c r="K19" s="5"/>
      <c r="L19" s="5"/>
      <c r="M19" s="5"/>
      <c r="N19" s="5"/>
      <c r="O19" s="5"/>
      <c r="P19" s="5"/>
      <c r="Q19" s="5"/>
      <c r="R19" s="5"/>
      <c r="S19" s="5"/>
      <c r="T19" s="5"/>
      <c r="U19" s="5"/>
    </row>
    <row r="20" spans="1:21" x14ac:dyDescent="0.25">
      <c r="A20" s="5"/>
      <c r="B20" s="5"/>
      <c r="C20" s="5"/>
      <c r="D20" s="5"/>
      <c r="E20" s="5"/>
      <c r="F20" s="5"/>
      <c r="G20" s="5"/>
      <c r="H20" s="5"/>
      <c r="I20" s="5"/>
      <c r="J20" s="5"/>
      <c r="K20" s="5"/>
      <c r="L20" s="5"/>
      <c r="M20" s="5"/>
      <c r="N20" s="5"/>
      <c r="O20" s="5"/>
      <c r="P20" s="5"/>
      <c r="Q20" s="5"/>
      <c r="R20" s="5"/>
      <c r="S20" s="5"/>
      <c r="T20" s="5"/>
      <c r="U20" s="5"/>
    </row>
    <row r="21" spans="1:21" x14ac:dyDescent="0.25">
      <c r="A21" s="5"/>
      <c r="B21" s="5"/>
      <c r="C21" s="5"/>
      <c r="D21" s="5"/>
      <c r="E21" s="5"/>
      <c r="F21" s="5"/>
      <c r="G21" s="5"/>
      <c r="H21" s="5"/>
      <c r="I21" s="5"/>
      <c r="J21" s="5"/>
      <c r="K21" s="5"/>
      <c r="L21" s="5"/>
      <c r="M21" s="5"/>
      <c r="N21" s="5"/>
      <c r="O21" s="5"/>
      <c r="P21" s="5"/>
      <c r="Q21" s="5"/>
      <c r="R21" s="5"/>
      <c r="S21" s="5"/>
      <c r="T21" s="5"/>
      <c r="U21" s="5"/>
    </row>
    <row r="22" spans="1:21" x14ac:dyDescent="0.25">
      <c r="A22" s="5"/>
      <c r="B22" s="5"/>
      <c r="C22" s="5"/>
      <c r="D22" s="5"/>
      <c r="E22" s="5"/>
      <c r="F22" s="5"/>
      <c r="G22" s="5"/>
      <c r="H22" s="5"/>
      <c r="I22" s="5"/>
      <c r="J22" s="5"/>
      <c r="K22" s="5"/>
      <c r="L22" s="5"/>
      <c r="M22" s="5"/>
      <c r="N22" s="5"/>
      <c r="O22" s="5"/>
      <c r="P22" s="5"/>
      <c r="Q22" s="5"/>
      <c r="R22" s="5"/>
      <c r="S22" s="5"/>
      <c r="T22" s="5"/>
      <c r="U22"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F679D-B46C-4910-92C8-BC8294137A8B}">
  <dimension ref="A1:U22"/>
  <sheetViews>
    <sheetView topLeftCell="B1" workbookViewId="0">
      <selection activeCell="B7" sqref="B7"/>
    </sheetView>
  </sheetViews>
  <sheetFormatPr defaultRowHeight="15" x14ac:dyDescent="0.25"/>
  <sheetData>
    <row r="1" spans="1:21" x14ac:dyDescent="0.25">
      <c r="A1" s="5"/>
      <c r="B1" s="5"/>
      <c r="C1" s="5"/>
      <c r="D1" s="5"/>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x14ac:dyDescent="0.25">
      <c r="A3" s="5"/>
      <c r="B3" s="5"/>
      <c r="C3" s="5"/>
      <c r="D3" s="5"/>
      <c r="E3" s="5"/>
      <c r="F3" s="5"/>
      <c r="G3" s="5"/>
      <c r="H3" s="5"/>
      <c r="I3" s="5"/>
      <c r="J3" s="5"/>
      <c r="K3" s="5"/>
      <c r="L3" s="5"/>
      <c r="M3" s="5"/>
      <c r="N3" s="5"/>
      <c r="O3" s="5"/>
      <c r="P3" s="5"/>
      <c r="Q3" s="5"/>
      <c r="R3" s="5"/>
      <c r="S3" s="5"/>
      <c r="T3" s="5"/>
      <c r="U3" s="5"/>
    </row>
    <row r="4" spans="1:21" x14ac:dyDescent="0.25">
      <c r="A4" s="5"/>
      <c r="B4" s="5"/>
      <c r="C4" s="5"/>
      <c r="D4" s="5"/>
      <c r="E4" s="5"/>
      <c r="F4" s="5"/>
      <c r="G4" s="5"/>
      <c r="H4" s="5"/>
      <c r="I4" s="5"/>
      <c r="J4" s="5"/>
      <c r="K4" s="5"/>
      <c r="L4" s="5"/>
      <c r="M4" s="5"/>
      <c r="N4" s="5"/>
      <c r="O4" s="5"/>
      <c r="P4" s="5"/>
      <c r="Q4" s="5"/>
      <c r="R4" s="5"/>
      <c r="S4" s="5"/>
      <c r="T4" s="5"/>
      <c r="U4" s="5"/>
    </row>
    <row r="5" spans="1:21" x14ac:dyDescent="0.25">
      <c r="A5" s="5"/>
      <c r="B5" s="5"/>
      <c r="C5" s="5"/>
      <c r="D5" s="5"/>
      <c r="E5" s="5"/>
      <c r="F5" s="5"/>
      <c r="G5" s="5"/>
      <c r="H5" s="5"/>
      <c r="I5" s="5"/>
      <c r="J5" s="5"/>
      <c r="K5" s="5"/>
      <c r="L5" s="5"/>
      <c r="M5" s="5"/>
      <c r="N5" s="5"/>
      <c r="O5" s="5"/>
      <c r="P5" s="5"/>
      <c r="Q5" s="5"/>
      <c r="R5" s="5"/>
      <c r="S5" s="5"/>
      <c r="T5" s="5"/>
      <c r="U5" s="5"/>
    </row>
    <row r="6" spans="1:21" x14ac:dyDescent="0.25">
      <c r="A6" s="5"/>
      <c r="B6" s="5"/>
      <c r="C6" s="5"/>
      <c r="D6" s="5"/>
      <c r="E6" s="5"/>
      <c r="F6" s="5"/>
      <c r="G6" s="5"/>
      <c r="H6" s="5"/>
      <c r="I6" s="5"/>
      <c r="J6" s="5"/>
      <c r="K6" s="5"/>
      <c r="L6" s="5"/>
      <c r="M6" s="5"/>
      <c r="N6" s="5"/>
      <c r="O6" s="5"/>
      <c r="P6" s="5"/>
      <c r="Q6" s="5"/>
      <c r="R6" s="5"/>
      <c r="S6" s="5"/>
      <c r="T6" s="5"/>
      <c r="U6" s="5"/>
    </row>
    <row r="7" spans="1:21" x14ac:dyDescent="0.25">
      <c r="A7" s="5"/>
      <c r="B7" s="5"/>
      <c r="C7" s="5"/>
      <c r="D7" s="5"/>
      <c r="E7" s="5"/>
      <c r="F7" s="5"/>
      <c r="G7" s="5"/>
      <c r="H7" s="5"/>
      <c r="I7" s="5"/>
      <c r="J7" s="5"/>
      <c r="K7" s="5"/>
      <c r="L7" s="5"/>
      <c r="M7" s="5"/>
      <c r="N7" s="5"/>
      <c r="O7" s="5"/>
      <c r="P7" s="5"/>
      <c r="Q7" s="5"/>
      <c r="R7" s="5"/>
      <c r="S7" s="5"/>
      <c r="T7" s="5"/>
      <c r="U7" s="5"/>
    </row>
    <row r="8" spans="1:21" x14ac:dyDescent="0.25">
      <c r="A8" s="5"/>
      <c r="B8" s="5"/>
      <c r="C8" s="5"/>
      <c r="D8" s="5"/>
      <c r="E8" s="5"/>
      <c r="F8" s="5"/>
      <c r="G8" s="5"/>
      <c r="H8" s="5"/>
      <c r="I8" s="5"/>
      <c r="J8" s="5"/>
      <c r="K8" s="5"/>
      <c r="L8" s="5"/>
      <c r="M8" s="5"/>
      <c r="N8" s="5"/>
      <c r="O8" s="5"/>
      <c r="P8" s="5"/>
      <c r="Q8" s="5"/>
      <c r="R8" s="5"/>
      <c r="S8" s="5"/>
      <c r="T8" s="5"/>
      <c r="U8" s="5"/>
    </row>
    <row r="9" spans="1:21" x14ac:dyDescent="0.25">
      <c r="A9" s="5"/>
      <c r="B9" s="5"/>
      <c r="C9" s="5"/>
      <c r="D9" s="5"/>
      <c r="E9" s="5"/>
      <c r="F9" s="5"/>
      <c r="G9" s="5"/>
      <c r="H9" s="5"/>
      <c r="I9" s="5"/>
      <c r="J9" s="5"/>
      <c r="K9" s="5"/>
      <c r="L9" s="5"/>
      <c r="M9" s="5"/>
      <c r="N9" s="5"/>
      <c r="O9" s="5"/>
      <c r="P9" s="5"/>
      <c r="Q9" s="5"/>
      <c r="R9" s="5"/>
      <c r="S9" s="5"/>
      <c r="T9" s="5"/>
      <c r="U9" s="5"/>
    </row>
    <row r="10" spans="1:21" x14ac:dyDescent="0.25">
      <c r="A10" s="5"/>
      <c r="B10" s="5"/>
      <c r="C10" s="5"/>
      <c r="D10" s="5"/>
      <c r="E10" s="5"/>
      <c r="F10" s="5"/>
      <c r="G10" s="5"/>
      <c r="H10" s="5"/>
      <c r="I10" s="5"/>
      <c r="J10" s="5"/>
      <c r="K10" s="5"/>
      <c r="L10" s="5"/>
      <c r="M10" s="5"/>
      <c r="N10" s="5"/>
      <c r="O10" s="5"/>
      <c r="P10" s="5"/>
      <c r="Q10" s="5"/>
      <c r="R10" s="5"/>
      <c r="S10" s="5"/>
      <c r="T10" s="5"/>
      <c r="U10" s="5"/>
    </row>
    <row r="11" spans="1:21" x14ac:dyDescent="0.25">
      <c r="A11" s="5"/>
      <c r="B11" s="5"/>
      <c r="C11" s="5"/>
      <c r="D11" s="5"/>
      <c r="E11" s="5"/>
      <c r="F11" s="5"/>
      <c r="G11" s="5"/>
      <c r="H11" s="5"/>
      <c r="I11" s="5"/>
      <c r="J11" s="5"/>
      <c r="K11" s="5"/>
      <c r="L11" s="5"/>
      <c r="M11" s="5"/>
      <c r="N11" s="5"/>
      <c r="O11" s="5"/>
      <c r="P11" s="5"/>
      <c r="Q11" s="5"/>
      <c r="R11" s="5"/>
      <c r="S11" s="5"/>
      <c r="T11" s="5"/>
      <c r="U11" s="5"/>
    </row>
    <row r="12" spans="1:21" x14ac:dyDescent="0.25">
      <c r="A12" s="5"/>
      <c r="B12" s="5"/>
      <c r="C12" s="5"/>
      <c r="D12" s="5"/>
      <c r="E12" s="5"/>
      <c r="F12" s="5"/>
      <c r="G12" s="5"/>
      <c r="H12" s="5"/>
      <c r="I12" s="5"/>
      <c r="J12" s="5"/>
      <c r="K12" s="5"/>
      <c r="L12" s="5"/>
      <c r="M12" s="5"/>
      <c r="N12" s="5"/>
      <c r="O12" s="5"/>
      <c r="P12" s="5"/>
      <c r="Q12" s="5"/>
      <c r="R12" s="5"/>
      <c r="S12" s="5"/>
      <c r="T12" s="5"/>
      <c r="U12" s="5"/>
    </row>
    <row r="13" spans="1:21" x14ac:dyDescent="0.25">
      <c r="A13" s="5"/>
      <c r="B13" s="5"/>
      <c r="C13" s="5"/>
      <c r="D13" s="5"/>
      <c r="E13" s="5"/>
      <c r="F13" s="5"/>
      <c r="G13" s="5"/>
      <c r="H13" s="5"/>
      <c r="I13" s="5"/>
      <c r="J13" s="5"/>
      <c r="K13" s="5"/>
      <c r="L13" s="5"/>
      <c r="M13" s="5"/>
      <c r="N13" s="5"/>
      <c r="O13" s="5"/>
      <c r="P13" s="5"/>
      <c r="Q13" s="5"/>
      <c r="R13" s="5"/>
      <c r="S13" s="5"/>
      <c r="T13" s="5"/>
      <c r="U13" s="5"/>
    </row>
    <row r="14" spans="1:21" x14ac:dyDescent="0.25">
      <c r="A14" s="5"/>
      <c r="B14" s="5"/>
      <c r="C14" s="5"/>
      <c r="D14" s="5"/>
      <c r="E14" s="5"/>
      <c r="F14" s="5"/>
      <c r="G14" s="5"/>
      <c r="H14" s="5"/>
      <c r="I14" s="5"/>
      <c r="J14" s="5"/>
      <c r="K14" s="5"/>
      <c r="L14" s="5"/>
      <c r="M14" s="5"/>
      <c r="N14" s="5"/>
      <c r="O14" s="5"/>
      <c r="P14" s="5"/>
      <c r="Q14" s="5"/>
      <c r="R14" s="5"/>
      <c r="S14" s="5"/>
      <c r="T14" s="5"/>
      <c r="U14" s="5"/>
    </row>
    <row r="15" spans="1:21" x14ac:dyDescent="0.25">
      <c r="A15" s="5"/>
      <c r="B15" s="5"/>
      <c r="C15" s="5"/>
      <c r="D15" s="5"/>
      <c r="E15" s="5"/>
      <c r="F15" s="5"/>
      <c r="G15" s="5"/>
      <c r="H15" s="5"/>
      <c r="I15" s="5"/>
      <c r="J15" s="5"/>
      <c r="K15" s="5"/>
      <c r="L15" s="5"/>
      <c r="M15" s="5"/>
      <c r="N15" s="5"/>
      <c r="O15" s="5"/>
      <c r="P15" s="5"/>
      <c r="Q15" s="5"/>
      <c r="R15" s="5"/>
      <c r="S15" s="5"/>
      <c r="T15" s="5"/>
      <c r="U15" s="5"/>
    </row>
    <row r="16" spans="1:21" x14ac:dyDescent="0.25">
      <c r="A16" s="5"/>
      <c r="B16" s="5"/>
      <c r="C16" s="5"/>
      <c r="D16" s="5"/>
      <c r="E16" s="5"/>
      <c r="F16" s="5"/>
      <c r="G16" s="5"/>
      <c r="H16" s="5"/>
      <c r="I16" s="5"/>
      <c r="J16" s="5"/>
      <c r="K16" s="5"/>
      <c r="L16" s="5"/>
      <c r="M16" s="5"/>
      <c r="N16" s="5"/>
      <c r="O16" s="5"/>
      <c r="P16" s="5"/>
      <c r="Q16" s="5"/>
      <c r="R16" s="5"/>
      <c r="S16" s="5"/>
      <c r="T16" s="5"/>
      <c r="U16" s="5"/>
    </row>
    <row r="17" spans="1:21" x14ac:dyDescent="0.25">
      <c r="A17" s="5"/>
      <c r="B17" s="5"/>
      <c r="C17" s="5"/>
      <c r="D17" s="5"/>
      <c r="E17" s="5"/>
      <c r="F17" s="5"/>
      <c r="G17" s="5"/>
      <c r="H17" s="5"/>
      <c r="I17" s="5"/>
      <c r="J17" s="5"/>
      <c r="K17" s="5"/>
      <c r="L17" s="5"/>
      <c r="M17" s="5"/>
      <c r="N17" s="5"/>
      <c r="O17" s="5"/>
      <c r="P17" s="5"/>
      <c r="Q17" s="5"/>
      <c r="R17" s="5"/>
      <c r="S17" s="5"/>
      <c r="T17" s="5"/>
      <c r="U17" s="5"/>
    </row>
    <row r="18" spans="1:21" x14ac:dyDescent="0.25">
      <c r="A18" s="5"/>
      <c r="B18" s="5"/>
      <c r="C18" s="5"/>
      <c r="D18" s="5"/>
      <c r="E18" s="5"/>
      <c r="F18" s="5"/>
      <c r="G18" s="5"/>
      <c r="H18" s="5"/>
      <c r="I18" s="5"/>
      <c r="J18" s="5"/>
      <c r="K18" s="5"/>
      <c r="L18" s="5"/>
      <c r="M18" s="5"/>
      <c r="N18" s="5"/>
      <c r="O18" s="5"/>
      <c r="P18" s="5"/>
      <c r="Q18" s="5"/>
      <c r="R18" s="5"/>
      <c r="S18" s="5"/>
      <c r="T18" s="5"/>
      <c r="U18" s="5"/>
    </row>
    <row r="19" spans="1:21" x14ac:dyDescent="0.25">
      <c r="A19" s="5"/>
      <c r="B19" s="5"/>
      <c r="C19" s="5"/>
      <c r="D19" s="5"/>
      <c r="E19" s="5"/>
      <c r="F19" s="5"/>
      <c r="G19" s="5"/>
      <c r="H19" s="5"/>
      <c r="I19" s="5"/>
      <c r="J19" s="5"/>
      <c r="K19" s="5"/>
      <c r="L19" s="5"/>
      <c r="M19" s="5"/>
      <c r="N19" s="5"/>
      <c r="O19" s="5"/>
      <c r="P19" s="5"/>
      <c r="Q19" s="5"/>
      <c r="R19" s="5"/>
      <c r="S19" s="5"/>
      <c r="T19" s="5"/>
      <c r="U19" s="5"/>
    </row>
    <row r="20" spans="1:21" x14ac:dyDescent="0.25">
      <c r="A20" s="5"/>
      <c r="B20" s="5"/>
      <c r="C20" s="5"/>
      <c r="D20" s="5"/>
      <c r="E20" s="5"/>
      <c r="F20" s="5"/>
      <c r="G20" s="5"/>
      <c r="H20" s="5"/>
      <c r="I20" s="5"/>
      <c r="J20" s="5"/>
      <c r="K20" s="5"/>
      <c r="L20" s="5"/>
      <c r="M20" s="5"/>
      <c r="N20" s="5"/>
      <c r="O20" s="5"/>
      <c r="P20" s="5"/>
      <c r="Q20" s="5"/>
      <c r="R20" s="5"/>
      <c r="S20" s="5"/>
      <c r="T20" s="5"/>
      <c r="U20" s="5"/>
    </row>
    <row r="21" spans="1:21" x14ac:dyDescent="0.25">
      <c r="A21" s="5"/>
      <c r="B21" s="5"/>
      <c r="C21" s="5"/>
      <c r="D21" s="5"/>
      <c r="E21" s="5"/>
      <c r="F21" s="5"/>
      <c r="G21" s="5"/>
      <c r="H21" s="5"/>
      <c r="I21" s="5"/>
      <c r="J21" s="5"/>
      <c r="K21" s="5"/>
      <c r="L21" s="5"/>
      <c r="M21" s="5"/>
      <c r="N21" s="5"/>
      <c r="O21" s="5"/>
      <c r="P21" s="5"/>
      <c r="Q21" s="5"/>
      <c r="R21" s="5"/>
      <c r="S21" s="5"/>
      <c r="T21" s="5"/>
      <c r="U21" s="5"/>
    </row>
    <row r="22" spans="1:21" x14ac:dyDescent="0.25">
      <c r="A22" s="8"/>
      <c r="B22" s="8"/>
      <c r="C22" s="8"/>
      <c r="D22" s="8"/>
      <c r="E22" s="8"/>
      <c r="F22" s="8"/>
      <c r="G22" s="8"/>
      <c r="H22" s="8"/>
      <c r="I22" s="8"/>
      <c r="J22" s="8"/>
      <c r="K22" s="8"/>
      <c r="L22" s="8"/>
      <c r="M22" s="8"/>
      <c r="N22" s="8"/>
      <c r="O22" s="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7CCC-8935-466A-9218-06E8D1887FB2}">
  <dimension ref="A1:S20"/>
  <sheetViews>
    <sheetView topLeftCell="B1" workbookViewId="0">
      <selection activeCell="C2" sqref="C2"/>
    </sheetView>
  </sheetViews>
  <sheetFormatPr defaultRowHeight="15" x14ac:dyDescent="0.25"/>
  <sheetData>
    <row r="1" spans="1:19" x14ac:dyDescent="0.25">
      <c r="A1" s="5"/>
      <c r="B1" s="5"/>
      <c r="C1" s="5"/>
      <c r="D1" s="5"/>
      <c r="E1" s="5"/>
      <c r="F1" s="5"/>
      <c r="G1" s="5"/>
      <c r="H1" s="5"/>
      <c r="I1" s="5"/>
      <c r="J1" s="5"/>
      <c r="K1" s="5"/>
      <c r="L1" s="5"/>
      <c r="M1" s="5"/>
      <c r="N1" s="5"/>
      <c r="O1" s="5"/>
      <c r="P1" s="5"/>
      <c r="Q1" s="5"/>
      <c r="R1" s="5"/>
      <c r="S1" s="5"/>
    </row>
    <row r="2" spans="1:19" x14ac:dyDescent="0.25">
      <c r="A2" s="5"/>
      <c r="B2" s="5"/>
      <c r="C2" s="5"/>
      <c r="D2" s="5"/>
      <c r="E2" s="5"/>
      <c r="F2" s="5"/>
      <c r="G2" s="5"/>
      <c r="H2" s="5"/>
      <c r="I2" s="5"/>
      <c r="J2" s="5"/>
      <c r="K2" s="5"/>
      <c r="L2" s="5"/>
      <c r="M2" s="5"/>
      <c r="N2" s="5"/>
      <c r="O2" s="5"/>
      <c r="P2" s="5"/>
      <c r="Q2" s="5"/>
      <c r="R2" s="5"/>
      <c r="S2" s="5"/>
    </row>
    <row r="3" spans="1:19" x14ac:dyDescent="0.25">
      <c r="A3" s="5"/>
      <c r="B3" s="5"/>
      <c r="C3" s="5"/>
      <c r="D3" s="5"/>
      <c r="E3" s="5"/>
      <c r="F3" s="5"/>
      <c r="G3" s="5"/>
      <c r="H3" s="5"/>
      <c r="I3" s="5"/>
      <c r="J3" s="5"/>
      <c r="K3" s="5"/>
      <c r="L3" s="5"/>
      <c r="M3" s="5"/>
      <c r="N3" s="5"/>
      <c r="O3" s="5"/>
      <c r="P3" s="5"/>
      <c r="Q3" s="5"/>
      <c r="R3" s="5"/>
      <c r="S3" s="5"/>
    </row>
    <row r="4" spans="1:19" x14ac:dyDescent="0.25">
      <c r="A4" s="5"/>
      <c r="B4" s="5"/>
      <c r="C4" s="5"/>
      <c r="D4" s="5"/>
      <c r="E4" s="5"/>
      <c r="F4" s="5"/>
      <c r="G4" s="5"/>
      <c r="H4" s="5"/>
      <c r="I4" s="5"/>
      <c r="J4" s="5"/>
      <c r="K4" s="5"/>
      <c r="L4" s="5"/>
      <c r="M4" s="5"/>
      <c r="N4" s="5"/>
      <c r="O4" s="5"/>
      <c r="P4" s="5"/>
      <c r="Q4" s="5"/>
      <c r="R4" s="5"/>
      <c r="S4" s="5"/>
    </row>
    <row r="5" spans="1:19" x14ac:dyDescent="0.25">
      <c r="A5" s="5"/>
      <c r="B5" s="5"/>
      <c r="C5" s="5"/>
      <c r="D5" s="5"/>
      <c r="E5" s="5"/>
      <c r="F5" s="5"/>
      <c r="G5" s="5"/>
      <c r="H5" s="5"/>
      <c r="I5" s="5"/>
      <c r="J5" s="5"/>
      <c r="K5" s="5"/>
      <c r="L5" s="5"/>
      <c r="M5" s="5"/>
      <c r="N5" s="5"/>
      <c r="O5" s="5"/>
      <c r="P5" s="5"/>
      <c r="Q5" s="5"/>
      <c r="R5" s="5"/>
      <c r="S5" s="5"/>
    </row>
    <row r="6" spans="1:19" x14ac:dyDescent="0.25">
      <c r="A6" s="5"/>
      <c r="B6" s="5"/>
      <c r="C6" s="5"/>
      <c r="D6" s="5"/>
      <c r="E6" s="5"/>
      <c r="F6" s="5"/>
      <c r="G6" s="5"/>
      <c r="H6" s="5"/>
      <c r="I6" s="5"/>
      <c r="J6" s="5"/>
      <c r="K6" s="5"/>
      <c r="L6" s="5"/>
      <c r="M6" s="5"/>
      <c r="N6" s="5"/>
      <c r="O6" s="5"/>
      <c r="P6" s="5"/>
      <c r="Q6" s="5"/>
      <c r="R6" s="5"/>
      <c r="S6" s="5"/>
    </row>
    <row r="7" spans="1:19" x14ac:dyDescent="0.25">
      <c r="A7" s="5"/>
      <c r="B7" s="5"/>
      <c r="C7" s="5"/>
      <c r="D7" s="5"/>
      <c r="E7" s="5"/>
      <c r="F7" s="5"/>
      <c r="G7" s="5"/>
      <c r="H7" s="5"/>
      <c r="I7" s="5"/>
      <c r="J7" s="5"/>
      <c r="K7" s="5"/>
      <c r="L7" s="5"/>
      <c r="M7" s="5"/>
      <c r="N7" s="5"/>
      <c r="O7" s="5"/>
      <c r="P7" s="5"/>
      <c r="Q7" s="5"/>
      <c r="R7" s="5"/>
      <c r="S7" s="5"/>
    </row>
    <row r="8" spans="1:19" x14ac:dyDescent="0.25">
      <c r="A8" s="5"/>
      <c r="B8" s="5"/>
      <c r="C8" s="5"/>
      <c r="D8" s="5"/>
      <c r="E8" s="5"/>
      <c r="F8" s="5"/>
      <c r="G8" s="5"/>
      <c r="H8" s="5"/>
      <c r="I8" s="5"/>
      <c r="J8" s="5"/>
      <c r="K8" s="5"/>
      <c r="L8" s="5"/>
      <c r="M8" s="5"/>
      <c r="N8" s="5"/>
      <c r="O8" s="5"/>
      <c r="P8" s="5"/>
      <c r="Q8" s="5"/>
      <c r="R8" s="5"/>
      <c r="S8" s="5"/>
    </row>
    <row r="9" spans="1:19" x14ac:dyDescent="0.25">
      <c r="A9" s="5"/>
      <c r="B9" s="5"/>
      <c r="C9" s="5"/>
      <c r="D9" s="5"/>
      <c r="E9" s="5"/>
      <c r="F9" s="5"/>
      <c r="G9" s="5"/>
      <c r="H9" s="5"/>
      <c r="I9" s="5"/>
      <c r="J9" s="5"/>
      <c r="K9" s="5"/>
      <c r="L9" s="5"/>
      <c r="M9" s="5"/>
      <c r="N9" s="5"/>
      <c r="O9" s="5"/>
      <c r="P9" s="5"/>
      <c r="Q9" s="5"/>
      <c r="R9" s="5"/>
      <c r="S9" s="5"/>
    </row>
    <row r="10" spans="1:19" x14ac:dyDescent="0.25">
      <c r="A10" s="5"/>
      <c r="B10" s="5"/>
      <c r="C10" s="5"/>
      <c r="D10" s="5"/>
      <c r="E10" s="5"/>
      <c r="F10" s="5"/>
      <c r="G10" s="5"/>
      <c r="H10" s="5"/>
      <c r="I10" s="5"/>
      <c r="J10" s="5"/>
      <c r="K10" s="5"/>
      <c r="L10" s="5"/>
      <c r="M10" s="5"/>
      <c r="N10" s="5"/>
      <c r="O10" s="5"/>
      <c r="P10" s="5"/>
      <c r="Q10" s="5"/>
      <c r="R10" s="5"/>
      <c r="S10" s="5"/>
    </row>
    <row r="11" spans="1:19" x14ac:dyDescent="0.25">
      <c r="A11" s="5"/>
      <c r="B11" s="5"/>
      <c r="C11" s="5"/>
      <c r="D11" s="5"/>
      <c r="E11" s="5"/>
      <c r="F11" s="5"/>
      <c r="G11" s="5"/>
      <c r="H11" s="5"/>
      <c r="I11" s="5"/>
      <c r="J11" s="5"/>
      <c r="K11" s="5"/>
      <c r="L11" s="5"/>
      <c r="M11" s="5"/>
      <c r="N11" s="5"/>
      <c r="O11" s="5"/>
      <c r="P11" s="5"/>
      <c r="Q11" s="5"/>
      <c r="R11" s="5"/>
      <c r="S11" s="5"/>
    </row>
    <row r="12" spans="1:19" x14ac:dyDescent="0.25">
      <c r="A12" s="5"/>
      <c r="B12" s="5"/>
      <c r="C12" s="5"/>
      <c r="D12" s="5"/>
      <c r="E12" s="5"/>
      <c r="F12" s="5"/>
      <c r="G12" s="5"/>
      <c r="H12" s="5"/>
      <c r="I12" s="5"/>
      <c r="J12" s="5"/>
      <c r="K12" s="5"/>
      <c r="L12" s="5"/>
      <c r="M12" s="5"/>
      <c r="N12" s="5"/>
      <c r="O12" s="5"/>
      <c r="P12" s="5"/>
      <c r="Q12" s="5"/>
      <c r="R12" s="5"/>
      <c r="S12" s="5"/>
    </row>
    <row r="13" spans="1:19" x14ac:dyDescent="0.25">
      <c r="A13" s="5"/>
      <c r="B13" s="5"/>
      <c r="C13" s="5"/>
      <c r="D13" s="5"/>
      <c r="E13" s="5"/>
      <c r="F13" s="5"/>
      <c r="G13" s="5"/>
      <c r="H13" s="5"/>
      <c r="I13" s="5"/>
      <c r="J13" s="5"/>
      <c r="K13" s="5"/>
      <c r="L13" s="5"/>
      <c r="M13" s="5"/>
      <c r="N13" s="5"/>
      <c r="O13" s="5"/>
      <c r="P13" s="5"/>
      <c r="Q13" s="5"/>
      <c r="R13" s="5"/>
      <c r="S13" s="5"/>
    </row>
    <row r="14" spans="1:19" x14ac:dyDescent="0.25">
      <c r="A14" s="5"/>
      <c r="B14" s="5"/>
      <c r="C14" s="5"/>
      <c r="D14" s="5"/>
      <c r="E14" s="5"/>
      <c r="F14" s="5"/>
      <c r="G14" s="5"/>
      <c r="H14" s="5"/>
      <c r="I14" s="5"/>
      <c r="J14" s="5"/>
      <c r="K14" s="5"/>
      <c r="L14" s="5"/>
      <c r="M14" s="5"/>
      <c r="N14" s="5"/>
      <c r="O14" s="5"/>
      <c r="P14" s="5"/>
      <c r="Q14" s="5"/>
      <c r="R14" s="5"/>
      <c r="S14" s="5"/>
    </row>
    <row r="15" spans="1:19" x14ac:dyDescent="0.25">
      <c r="A15" s="5"/>
      <c r="B15" s="5"/>
      <c r="C15" s="5"/>
      <c r="D15" s="5"/>
      <c r="E15" s="5"/>
      <c r="F15" s="5"/>
      <c r="G15" s="5"/>
      <c r="H15" s="5"/>
      <c r="I15" s="5"/>
      <c r="J15" s="5"/>
      <c r="K15" s="5"/>
      <c r="L15" s="5"/>
      <c r="M15" s="5"/>
      <c r="N15" s="5"/>
      <c r="O15" s="5"/>
      <c r="P15" s="5"/>
      <c r="Q15" s="5"/>
      <c r="R15" s="5"/>
      <c r="S15" s="5"/>
    </row>
    <row r="16" spans="1:19" x14ac:dyDescent="0.25">
      <c r="A16" s="5"/>
      <c r="B16" s="5"/>
      <c r="C16" s="5"/>
      <c r="D16" s="5"/>
      <c r="E16" s="5"/>
      <c r="F16" s="5"/>
      <c r="G16" s="5"/>
      <c r="H16" s="5"/>
      <c r="I16" s="5"/>
      <c r="J16" s="5"/>
      <c r="K16" s="5"/>
      <c r="L16" s="5"/>
      <c r="M16" s="5"/>
      <c r="N16" s="5"/>
      <c r="O16" s="5"/>
      <c r="P16" s="5"/>
      <c r="Q16" s="5"/>
      <c r="R16" s="5"/>
      <c r="S16" s="5"/>
    </row>
    <row r="17" spans="1:19" x14ac:dyDescent="0.25">
      <c r="A17" s="5"/>
      <c r="B17" s="5"/>
      <c r="C17" s="5"/>
      <c r="D17" s="5"/>
      <c r="E17" s="5"/>
      <c r="F17" s="5"/>
      <c r="G17" s="5"/>
      <c r="H17" s="5"/>
      <c r="I17" s="5"/>
      <c r="J17" s="5"/>
      <c r="K17" s="5"/>
      <c r="L17" s="5"/>
      <c r="M17" s="5"/>
      <c r="N17" s="5"/>
      <c r="O17" s="5"/>
      <c r="P17" s="5"/>
      <c r="Q17" s="5"/>
      <c r="R17" s="5"/>
      <c r="S17" s="5"/>
    </row>
    <row r="18" spans="1:19" x14ac:dyDescent="0.25">
      <c r="A18" s="5"/>
      <c r="B18" s="5"/>
      <c r="C18" s="5"/>
      <c r="D18" s="5"/>
      <c r="E18" s="5"/>
      <c r="F18" s="5"/>
      <c r="G18" s="5"/>
      <c r="H18" s="5"/>
      <c r="I18" s="5"/>
      <c r="J18" s="5"/>
      <c r="K18" s="5"/>
      <c r="L18" s="5"/>
      <c r="M18" s="5"/>
      <c r="N18" s="5"/>
      <c r="O18" s="5"/>
      <c r="P18" s="5"/>
      <c r="Q18" s="5"/>
      <c r="R18" s="5"/>
      <c r="S18" s="5"/>
    </row>
    <row r="19" spans="1:19" x14ac:dyDescent="0.25">
      <c r="A19" s="5"/>
      <c r="B19" s="5"/>
      <c r="C19" s="5"/>
      <c r="D19" s="5"/>
      <c r="E19" s="5"/>
      <c r="F19" s="5"/>
      <c r="G19" s="5"/>
      <c r="H19" s="5"/>
      <c r="I19" s="5"/>
      <c r="J19" s="5"/>
      <c r="K19" s="5"/>
      <c r="L19" s="5"/>
      <c r="M19" s="5"/>
      <c r="N19" s="5"/>
      <c r="O19" s="5"/>
      <c r="P19" s="5"/>
      <c r="Q19" s="5"/>
      <c r="R19" s="5"/>
      <c r="S19" s="5"/>
    </row>
    <row r="20" spans="1:19" x14ac:dyDescent="0.25">
      <c r="A20" s="5"/>
      <c r="B20" s="5"/>
      <c r="C20" s="5"/>
      <c r="D20" s="5"/>
      <c r="E20" s="5"/>
      <c r="F20" s="5"/>
      <c r="G20" s="5"/>
      <c r="H20" s="5"/>
      <c r="I20" s="5"/>
      <c r="J20" s="5"/>
      <c r="K20" s="5"/>
      <c r="L20" s="5"/>
      <c r="M20" s="5"/>
      <c r="N20" s="5"/>
      <c r="O20" s="5"/>
      <c r="P20" s="5"/>
      <c r="Q20" s="5"/>
      <c r="R20" s="5"/>
      <c r="S20"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700C816-71A6-4FD8-A5C8-3C6041F4B070}">
  <ds:schemaRefs/>
</ds:datastoreItem>
</file>

<file path=customXml/itemProps2.xml><?xml version="1.0" encoding="utf-8"?>
<ds:datastoreItem xmlns:ds="http://schemas.openxmlformats.org/officeDocument/2006/customXml" ds:itemID="{049599DE-E30D-4331-ADED-1522AE12B9AA}">
  <ds:schemaRefs/>
</ds:datastoreItem>
</file>

<file path=customXml/itemProps3.xml><?xml version="1.0" encoding="utf-8"?>
<ds:datastoreItem xmlns:ds="http://schemas.openxmlformats.org/officeDocument/2006/customXml" ds:itemID="{D97BFD8B-54E0-497F-BD1F-A9B2986F8958}">
  <ds:schemaRefs/>
</ds:datastoreItem>
</file>

<file path=customXml/itemProps4.xml><?xml version="1.0" encoding="utf-8"?>
<ds:datastoreItem xmlns:ds="http://schemas.openxmlformats.org/officeDocument/2006/customXml" ds:itemID="{75BDBA50-4A8E-41F5-A698-5DB02F79EDE6}">
  <ds:schemaRefs/>
</ds:datastoreItem>
</file>

<file path=customXml/itemProps5.xml><?xml version="1.0" encoding="utf-8"?>
<ds:datastoreItem xmlns:ds="http://schemas.openxmlformats.org/officeDocument/2006/customXml" ds:itemID="{968B0F8C-6FCF-481F-8C1D-5554F93478F7}">
  <ds:schemaRefs/>
</ds:datastoreItem>
</file>

<file path=customXml/itemProps6.xml><?xml version="1.0" encoding="utf-8"?>
<ds:datastoreItem xmlns:ds="http://schemas.openxmlformats.org/officeDocument/2006/customXml" ds:itemID="{9955AA06-6EA1-46BC-835F-8BF3CDC630A5}">
  <ds:schemaRefs/>
</ds:datastoreItem>
</file>

<file path=customXml/itemProps7.xml><?xml version="1.0" encoding="utf-8"?>
<ds:datastoreItem xmlns:ds="http://schemas.openxmlformats.org/officeDocument/2006/customXml" ds:itemID="{B2139FA2-35D0-4A17-AD43-99CA51E1B647}">
  <ds:schemaRefs/>
</ds:datastoreItem>
</file>

<file path=customXml/itemProps8.xml><?xml version="1.0" encoding="utf-8"?>
<ds:datastoreItem xmlns:ds="http://schemas.openxmlformats.org/officeDocument/2006/customXml" ds:itemID="{F921C883-1250-4313-8094-255274630937}">
  <ds:schemaRefs/>
</ds:datastoreItem>
</file>

<file path=customXml/itemProps9.xml><?xml version="1.0" encoding="utf-8"?>
<ds:datastoreItem xmlns:ds="http://schemas.openxmlformats.org/officeDocument/2006/customXml" ds:itemID="{D72E145F-4CEC-4D1F-A65C-D1E6CE6C6493}">
  <ds:schemaRefs/>
</ds:datastoreItem>
</file>

<file path=customXml/itemProps10.xml><?xml version="1.0" encoding="utf-8"?>
<ds:datastoreItem xmlns:ds="http://schemas.openxmlformats.org/officeDocument/2006/customXml" ds:itemID="{D55F1EC3-B7EE-4282-8E7E-E8E40B9B4298}">
  <ds:schemaRefs/>
</ds:datastoreItem>
</file>

<file path=customXml/itemProps11.xml><?xml version="1.0" encoding="utf-8"?>
<ds:datastoreItem xmlns:ds="http://schemas.openxmlformats.org/officeDocument/2006/customXml" ds:itemID="{C6B40DB2-E79B-45D1-97E0-1C290012873F}">
  <ds:schemaRefs/>
</ds:datastoreItem>
</file>

<file path=customXml/itemProps12.xml><?xml version="1.0" encoding="utf-8"?>
<ds:datastoreItem xmlns:ds="http://schemas.openxmlformats.org/officeDocument/2006/customXml" ds:itemID="{DB0E3BDF-79AF-4605-9D1A-3426BA9EB7FF}">
  <ds:schemaRefs/>
</ds:datastoreItem>
</file>

<file path=customXml/itemProps13.xml><?xml version="1.0" encoding="utf-8"?>
<ds:datastoreItem xmlns:ds="http://schemas.openxmlformats.org/officeDocument/2006/customXml" ds:itemID="{8DBB7242-B578-427F-9FE0-34654D81AC8C}">
  <ds:schemaRefs>
    <ds:schemaRef ds:uri="http://schemas.microsoft.com/DataMashup"/>
  </ds:schemaRefs>
</ds:datastoreItem>
</file>

<file path=customXml/itemProps14.xml><?xml version="1.0" encoding="utf-8"?>
<ds:datastoreItem xmlns:ds="http://schemas.openxmlformats.org/officeDocument/2006/customXml" ds:itemID="{31D37B0D-855A-446B-A766-1AA776E60FCC}">
  <ds:schemaRefs/>
</ds:datastoreItem>
</file>

<file path=customXml/itemProps15.xml><?xml version="1.0" encoding="utf-8"?>
<ds:datastoreItem xmlns:ds="http://schemas.openxmlformats.org/officeDocument/2006/customXml" ds:itemID="{B52FF3B8-9D3B-406C-A54B-591BE2AA9D46}">
  <ds:schemaRefs/>
</ds:datastoreItem>
</file>

<file path=customXml/itemProps16.xml><?xml version="1.0" encoding="utf-8"?>
<ds:datastoreItem xmlns:ds="http://schemas.openxmlformats.org/officeDocument/2006/customXml" ds:itemID="{2D3BAA8D-AF01-4E5D-96EF-14EE65C34CB2}">
  <ds:schemaRefs/>
</ds:datastoreItem>
</file>

<file path=customXml/itemProps17.xml><?xml version="1.0" encoding="utf-8"?>
<ds:datastoreItem xmlns:ds="http://schemas.openxmlformats.org/officeDocument/2006/customXml" ds:itemID="{84A54C6C-20E1-4A77-945C-15E0A980A817}">
  <ds:schemaRefs/>
</ds:datastoreItem>
</file>

<file path=customXml/itemProps18.xml><?xml version="1.0" encoding="utf-8"?>
<ds:datastoreItem xmlns:ds="http://schemas.openxmlformats.org/officeDocument/2006/customXml" ds:itemID="{382093AA-5962-4A78-BB4D-0B6C8EAF1A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Sheet6</vt:lpstr>
      <vt:lpstr>Dashboard</vt:lpstr>
      <vt:lpstr>PATIENT DATA</vt:lpstr>
      <vt:lpstr>Avg wait time</vt:lpstr>
      <vt:lpstr>patient satisfaction score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2026-10-01T03:37:09Z</dcterms:created>
  <dcterms:modified xsi:type="dcterms:W3CDTF">2026-10-14T04:52:52Z</dcterms:modified>
</cp:coreProperties>
</file>